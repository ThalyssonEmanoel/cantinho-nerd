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2.1" sheetId="1" r:id="rId5"/>
    <sheet state="visible" name="Additional" sheetId="2" r:id="rId6"/>
    <sheet state="hidden" name="New Inventory" sheetId="3" r:id="rId7"/>
    <sheet state="visible" name="Inventory" sheetId="4" r:id="rId8"/>
    <sheet state="visible" name="Sheet2" sheetId="5" r:id="rId9"/>
    <sheet state="visible" name="Attack Info" sheetId="6" r:id="rId10"/>
    <sheet state="visible" name="Gear Info" sheetId="7" r:id="rId11"/>
    <sheet state="visible" name="Race Info" sheetId="8" r:id="rId12"/>
    <sheet state="visible" name="Class Info" sheetId="9" r:id="rId13"/>
    <sheet state="visible" name="Changelog" sheetId="10" r:id="rId14"/>
  </sheets>
  <definedNames>
    <definedName name="dualWielder">v2.1!$AZ$44</definedName>
    <definedName name="thrown">v2.1!$AX$44</definedName>
    <definedName name="thrownText">v2.1!$AX$43</definedName>
    <definedName name="intMod">v2.1!$C$28</definedName>
    <definedName name="ClericLevel">'Class Info'!$AP$24</definedName>
    <definedName name="greatWeaponFighting">v2.1!$AT$44</definedName>
    <definedName name="race">v2.1!$AQ$5</definedName>
    <definedName name="name">v2.1!$C$6</definedName>
    <definedName name="racialSpeed">v2.1!$AT$5</definedName>
    <definedName name="unarmedFighting">v2.1!$AY$44</definedName>
    <definedName name="FighterLevel">'Class Info'!$AP$43</definedName>
    <definedName name="chaMod">v2.1!$C$38</definedName>
    <definedName name="unarmedText">v2.1!$AY$43</definedName>
    <definedName name="MonkLevel">'Class Info'!$AP$52</definedName>
    <definedName name="twoWeaponFighting">v2.1!$AU$44</definedName>
    <definedName name="twfText">v2.1!$AU$43</definedName>
    <definedName name="invocations">v2.1!$AQ$61</definedName>
    <definedName name="spellAttackBonus">v2.1!$AI$91</definedName>
    <definedName name="WarlockLevel">'Class Info'!$AP$88</definedName>
    <definedName name="closeQuarters">v2.1!$AW$44</definedName>
    <definedName name="castingClass">v2.1!$C$91</definedName>
    <definedName name="weaponProficiencies">v2.1!$I$50</definedName>
    <definedName name="armorProficiencies">v2.1!$AQ$65</definedName>
    <definedName name="dexMod">v2.1!$C$18</definedName>
    <definedName name="naturalArmorAC">v2.1!$AS$26</definedName>
    <definedName name="mariner">v2.1!$AV$44</definedName>
    <definedName name="armor">v2.1!$AQ$24</definedName>
    <definedName name="classAndLevel">v2.1!$T$5</definedName>
    <definedName name="strMod">v2.1!$C$13</definedName>
    <definedName name="proficiencyBonus">v2.1!$H$14</definedName>
    <definedName name="PaladinLevel">'Class Info'!$AP$60</definedName>
    <definedName name="casterLevel">v2.1!$AT$16</definedName>
    <definedName name="WizardLevel">'Class Info'!$AP$95</definedName>
    <definedName name="defense">v2.1!$AR$44</definedName>
    <definedName name="duelingText">v2.1!$AS$43</definedName>
    <definedName name="SorcererLevel">'Class Info'!$AP$82</definedName>
    <definedName name="armoredAC">v2.1!$AQ$26</definedName>
    <definedName name="shield">v2.1!$AQ$25</definedName>
    <definedName name="speedBonus">v2.1!$AQ$18</definedName>
    <definedName name="dueling">v2.1!$AS$44</definedName>
    <definedName name="RogueLevel">'Class Info'!$AP$74</definedName>
    <definedName name="DruidLevel">'Class Info'!$AP$37</definedName>
    <definedName name="RangerLevel">'Class Info'!$AP$68</definedName>
    <definedName name="closeQuartersText">v2.1!$AW$43</definedName>
    <definedName name="archeryText">v2.1!$AQ$43</definedName>
    <definedName name="averageHitPoints">v2.1!$AU$16</definedName>
    <definedName name="unarmoredAC">v2.1!$AR$26</definedName>
    <definedName name="gwfText">v2.1!$AT$43</definedName>
    <definedName name="jackOfAllTrades">v2.1!$AQ$59</definedName>
    <definedName name="archery">v2.1!$AQ$44</definedName>
    <definedName name="BardLevel">'Class Info'!$AP$18</definedName>
    <definedName name="feats">v2.1!$AQ$60</definedName>
    <definedName name="level">v2.1!$AL$6</definedName>
    <definedName name="BarbarianLevel">'Class Info'!$AP$11</definedName>
    <definedName name="monkMagic">'Attack Info'!$AP$1</definedName>
    <definedName name="castingAbility">v2.1!$U$91</definedName>
    <definedName name="altClassBasedAC">v2.1!$AT$26</definedName>
    <definedName name="wisMod">v2.1!$C$33</definedName>
    <definedName name="fightingStyles">v2.1!$AQ$62</definedName>
    <definedName name="raceResists">v2.1!$AV$5</definedName>
    <definedName name="rolledHitPoints">v2.1!$AC$11:$AC$30</definedName>
    <definedName name="strength">v2.1!$C$15</definedName>
    <definedName name="conMod">v2.1!$C$23</definedName>
    <definedName name="ArtificerLevel">'Class Info'!$AP$7</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T5">
      <text>
        <t xml:space="preserve">Enter your first chosen class first. If you have a subclass, enter it anywhere before another class, e.g. "Champion Fighter 4 Berserker Barbarian 3"
The first class entered will be used to determine your 1st level hit die and saving throw proficiencies.
Important: Do not neglect to set your Subclass. Under various circumstances, not intentionally setting a subclass can end up with the sheet giving you a subclass you don't have.</t>
      </text>
    </comment>
    <comment authorId="0" ref="AE7">
      <text>
        <t xml:space="preserve">When you update your experience total, most other fields will automatically update as you level up. Also adjust the CLASS cell accordingly, the level or sum of levels from there needs to match your total level.</t>
      </text>
    </comment>
    <comment authorId="0" ref="C11">
      <text>
        <t xml:space="preserve">Enter your base ability score, before any modifiers, in the cell in this column UNDER each Ability Score block. The cells with 00 in them.</t>
      </text>
    </comment>
    <comment authorId="0" ref="D11">
      <text>
        <t xml:space="preserve">Enter Ability Score Improvements and racial Ability CHOICES in the cell in this column UNDER each Ability Score block.
When this cell turns blue, it means you have racial Ability Scores Increases to choose below.</t>
      </text>
    </comment>
    <comment authorId="0" ref="AC11">
      <text>
        <t xml:space="preserve">IF you roll for HP, input your maximum HP according to hit die from 1st level here without con mod, then each line after is for the amount rolled on hit dice for each level. If you enter nothing in this column, it assumes average.</t>
      </text>
    </comment>
    <comment authorId="0" ref="AJ11">
      <text>
        <t xml:space="preserve">Your background gives you skills. If you want to modify which skills a background lets you choose, or you want to add new backgrounds, they're the one piece of customization done on this page. If you unhide the columns to the right (by clicking/tapping the tiny little arrows that show up on the "AP" column header, thanks google /s), you'll find the Backgrounds listed starting in cell AX69, the associated skills starting in AY69, the number of extra languages starting in AZ69, the number of tool proficiencies granted starting in BA69, and the number of vehicle proficiencies granted starting in BB69. You can alter the skills to be any two you desire or add to the list of recognized Backgrounds by adding the Background to the AX column, its associated skills to the AY column, and its number of languages, tools, and vehicles proficiencies to the proper columns, starting at row 82.</t>
      </text>
    </comment>
    <comment authorId="0" ref="V15">
      <text>
        <t xml:space="preserve">Overriding Initiative Advantage and Disadvantage
Enter 'adv' in this cell to override for advantage on initiative.
Enter 'dis' in this cell to override for disadvantage on initiative.
Enter almost anything else in this cell to override to normal initiative.</t>
      </text>
    </comment>
    <comment authorId="0" ref="P17">
      <text>
        <t xml:space="preserve">Overriding Advantage and Disadvantage
Enter 'adv' in this column to override for advantage.
Enter 'dis' in this column to override for disadvantage.
Enter almost anything else in this column to override to normal.</t>
      </text>
    </comment>
    <comment authorId="0" ref="H43">
      <text>
        <t xml:space="preserve">Skill names get colored and underlined until you select what you are granted by your class, race, and background.
Class skills are blue.
Racially granted skills are purple.
When you have a choice of racial skills, they are magenta.
Background skills are dark orange.</t>
      </text>
    </comment>
    <comment authorId="0" ref="I51">
      <text>
        <t xml:space="preserve">The sheet doesn't automatically populate any vehicle proficiencies. It just counts how many you should have. Fill this in yourself.</t>
      </text>
    </comment>
    <comment authorId="0" ref="I52">
      <text>
        <t xml:space="preserve">The sheet doesn't automatically populate any tool proficiencies. It just counts how many you should have. Fill this in yourself.</t>
      </text>
    </comment>
    <comment authorId="0" ref="I53">
      <text>
        <t xml:space="preserve">Add any bonus proficiencies to this cell. Things like Kensei's weapon proficiencies (don't forget to mark it as a Monk Weapon on the Attack Info sheet) or weapon proficiencies from the Weapon Master Feat or the two Martial Weapon proficiencies for Hobgoblins.</t>
      </text>
    </comment>
    <comment authorId="0" ref="R57">
      <text>
        <t xml:space="preserve">This only autofills with languages from your race. If you gain languages from another source, enter them on the lines after the automatically populated ones.</t>
      </text>
    </comment>
    <comment authorId="0" ref="AV61">
      <text>
        <t xml:space="preserve">This list is automatically populated by collecting the unique languages listed in the Languages column on the Race Info page.</t>
      </text>
    </comment>
    <comment authorId="0" ref="AW61">
      <text>
        <t xml:space="preserve">This column is where you can add additional languages to populate the drop-down menus for the LANGUAGES section.</t>
      </text>
    </comment>
    <comment authorId="0" ref="BC61">
      <text>
        <t xml:space="preserve">This column is a sorted aggregate of the available languages. To add languages to it, either add a racial language to a race on the Race Info page or add a Non-race Language to the Non-race Languages column.</t>
      </text>
    </comment>
    <comment authorId="0" ref="P85">
      <text>
        <t xml:space="preserve">Formulas check what is written here. Fighting Styles are supported with the exception of Protection, as are most Feats that matter for the sheet For feats and fighting styles, enter in
"Feat: [feat name]" format: 
e.g.
Feat: Mobile
Feat: Dual Wielder
Fighting Style: Dueling
Some abilities let you choose things, like saving throw proficiencies. Include those things in parentheses, e.g. Iron Mind (Wisdom).
If you take the Skilled feat, put your chosen skills in parentheses, e.g. Skilled (Acrobatics, Athletics, Performance)</t>
      </text>
    </comment>
    <comment authorId="0" ref="C91">
      <text>
        <t xml:space="preserve">Enter your main spellcasting class here. If you have multiple spellcasting classes, the sheet will figure out spellslots properly, but can't handle setting up separate DCs and Spell Attack Bonuses for classes with different Spellcasting Abilities.
If you have the Magic Initiate feat and no other spellcasting classes, enter the class for that feat and make sure you have Magic Initiate listed in your features.
If you have the Magic Initiate feat in conjunction with a spellcasting class, put it in your features and the sheet will add an extra 1st-level slot for you.</t>
      </text>
    </comment>
    <comment authorId="0" ref="C174">
      <text>
        <t xml:space="preserve">If you want to add your own custom header image, unhide the columns on the right and follow the link to one of the "blank" headers, make your own, and then add it to the list.</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C68">
      <text>
        <t xml:space="preserve">Classes and Levels in each will autopopulate when you fill in the 'CLASS(ES) &amp; LEVEL(S)' cell on the first page according to the directions.</t>
      </text>
    </comment>
    <comment authorId="0" ref="T68">
      <text>
        <t xml:space="preserve">Resistances populate based on race and certain items. If you have additional resistances, enter them after the automatically populated ones.</t>
      </text>
    </comment>
    <comment authorId="0" ref="AB68">
      <text>
        <t xml:space="preserve">Immunities populate based on race and certain items. If you have additional immunities, enter them after the automatically populated ones.</t>
      </text>
    </comment>
    <comment authorId="0" ref="AI68">
      <text>
        <t xml:space="preserve">Vulnerabilities populate based on race and certain items. If you have additional vulnerabilities, enter them after the automatically populated ones.</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G5">
      <text>
        <t xml:space="preserve">Unarmed Strikes and Monk Weapons use a special formula to determine their damage dice correctly. If you want to include cantrip attacks, the cantrip scaling is included with Fire Bolt for an example.</t>
      </text>
    </comment>
    <comment authorId="0" ref="I5">
      <text>
        <t xml:space="preserve">Include 'magical' before the damage type if the weapon deals magical bludgeoning, piercing, or slashing damage.
The same applies for adamantine, silvered, or whatever other kind of damage you might be dealing.</t>
      </text>
    </comment>
    <comment authorId="0" ref="M5">
      <text>
        <t xml:space="preserve">Accepted Categories are:
Unarmed
Improvised
Simple
Martial
Natural
Spell</t>
      </text>
    </comment>
    <comment authorId="0" ref="P5">
      <text>
        <t xml:space="preserve">Accepted Ranges:
Melee
Ranged
Melee or Ranged</t>
      </text>
    </comment>
    <comment authorId="0" ref="T5">
      <text>
        <t xml:space="preserve">Enter anything but a zero (0) to classify the weapon as a monk weapon.</t>
      </text>
    </comment>
    <comment authorId="0" ref="V5">
      <text>
        <t xml:space="preserve">Enter the numerical value only, not the plus sign.</t>
      </text>
    </comment>
    <comment authorId="0" ref="AD5">
      <text>
        <t xml:space="preserve">Accepted Ability Overrides:
str
dex
con
int
wis
cha</t>
      </text>
    </comment>
    <comment authorId="0" ref="AF5">
      <text>
        <t xml:space="preserve">Enter weapon properties here exactly as printed for best results. Some formulas look for specific wording.</t>
      </text>
    </comment>
    <comment authorId="0" ref="AN5">
      <text>
        <t xml:space="preserve">Offhand weapons have a formula in this column to check and see if you have the Two Weapon Fighting fighting style.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H5">
      <text>
        <t xml:space="preserve">As shown with the PHB armors, include just the amount over the base of 10 for all armors.</t>
      </text>
    </comment>
    <comment authorId="0" ref="J5">
      <text>
        <t xml:space="preserve">Copy the formula for the Medium Armors to have it scale with the Medium Armor Master feat. For non-armors and armors without a maximum Dexterity modifier, put a minus sign (-). For armors that don't allow you to add your Dexterity modifier, put a zero (0).</t>
      </text>
    </comment>
    <comment authorId="0" ref="M5">
      <text>
        <t xml:space="preserve">Checked for Categories:
Light Armor
Medium Armor
Heavy Armor
Shield
Other Categories:
Clothes
Wondrous Item
Wand
Rod
Etc.</t>
      </text>
    </comment>
    <comment authorId="0" ref="Y5">
      <text>
        <t xml:space="preserve">For Armor and Shields. Enter the numerical value only, not the plus sign.</t>
      </text>
    </comment>
    <comment authorId="0" ref="AC5">
      <text>
        <t xml:space="preserve">This column is for bonuses to your proficiency bonus.</t>
      </text>
    </comment>
    <comment authorId="0" ref="AF5">
      <text>
        <t xml:space="preserve">This column is for bonuses to ALL skill/ability checks.</t>
      </text>
    </comment>
    <comment authorId="0" ref="AH5">
      <text>
        <t xml:space="preserve">This column is for bonuses to ALL saving throws.</t>
      </text>
    </comment>
    <comment authorId="0" ref="AJ5">
      <text>
        <t xml:space="preserve">Enter item properties here exactly as printed for best results. Some formulas look for specific wording.</t>
      </text>
    </comment>
  </commentList>
</comments>
</file>

<file path=xl/comments5.xml><?xml version="1.0" encoding="utf-8"?>
<comments xmlns:r="http://schemas.openxmlformats.org/officeDocument/2006/relationships" xmlns="http://schemas.openxmlformats.org/spreadsheetml/2006/main" xmlns:xr="http://schemas.microsoft.com/office/spreadsheetml/2014/revision">
  <authors>
    <author/>
  </authors>
  <commentList>
    <comment authorId="0" ref="AA5">
      <text>
        <t xml:space="preserve">Enter it as follows, changing the name, dice, and damage type as necessary:
Bite 1d4 piercing</t>
      </text>
    </comment>
  </commentList>
</comments>
</file>

<file path=xl/comments6.xml><?xml version="1.0" encoding="utf-8"?>
<comments xmlns:r="http://schemas.openxmlformats.org/officeDocument/2006/relationships" xmlns="http://schemas.openxmlformats.org/spreadsheetml/2006/main" xmlns:xr="http://schemas.microsoft.com/office/spreadsheetml/2014/revision">
  <authors>
    <author/>
  </authors>
  <commentList>
    <comment authorId="0" ref="M5">
      <text>
        <t xml:space="preserve">You can set this to a flat number, =abilityMod, or `adv`</t>
      </text>
    </comment>
    <comment authorId="0" ref="Q5">
      <text>
        <t xml:space="preserve">Note that if a class gets a bonus skill when you multiclass into it, the sheet actually adds that extra skill to the base skills even if you aren't multiclassed. This is why the "Choose X" are one less for bard, ranger, and rogue than they "should" be.</t>
      </text>
    </comment>
    <comment authorId="0" ref="X5">
      <text>
        <t xml:space="preserve">This column is for proficiencies that can only be gained by taking your first level in the class. The rest of a class's proficiencies and any proficiencies from subclasses are granted through the "Additional/Multiclassing Proficiencies" column.</t>
      </text>
    </comment>
    <comment authorId="0" ref="AB5">
      <text>
        <t xml:space="preserve">The formulas care about Armor, Weapons, and additional skills. If you put tool proficiencies here, they will show up in your weapon proficiencies and have no effect.</t>
      </text>
    </comment>
    <comment authorId="0" ref="AG5">
      <text>
        <t xml:space="preserve">Accepted Casting Types:
Artificer Casting
Full Caster
Half Caster
Third Caster
Pact Magic
(Half Pact Magic is not a thing the sheet handles)</t>
      </text>
    </comment>
    <comment authorId="0" ref="AM5">
      <text>
        <t xml:space="preserve">There are formulas in this column for Barbarian, Monk, and Scout Rogue. Reference them if you have a homebrew class that has a speed bonus.</t>
      </text>
    </comment>
  </commentList>
</comments>
</file>

<file path=xl/sharedStrings.xml><?xml version="1.0" encoding="utf-8"?>
<sst xmlns="http://schemas.openxmlformats.org/spreadsheetml/2006/main" count="1936" uniqueCount="631">
  <si>
    <t xml:space="preserve"> </t>
  </si>
  <si>
    <t>Hide these columns. There should be no need to alter them (mostly).
Customization and homebrew are mostly handled by the Info pages.</t>
  </si>
  <si>
    <t>2.1</t>
  </si>
  <si>
    <t>Thalysson</t>
  </si>
  <si>
    <t>LEVEL</t>
  </si>
  <si>
    <t>CLASS(ES) &amp; LEVEL(S)</t>
  </si>
  <si>
    <t>PLAYER NAME</t>
  </si>
  <si>
    <t>Human</t>
  </si>
  <si>
    <t/>
  </si>
  <si>
    <t>EXPERIENCE</t>
  </si>
  <si>
    <t>NEXT LEVEL</t>
  </si>
  <si>
    <t>HP</t>
  </si>
  <si>
    <t>INSPIRATION</t>
  </si>
  <si>
    <t>BACKGROUND:</t>
  </si>
  <si>
    <t>STR</t>
  </si>
  <si>
    <t>PROFICIENCY BONUS</t>
  </si>
  <si>
    <t>AC</t>
  </si>
  <si>
    <t>INIT</t>
  </si>
  <si>
    <t>SPEED</t>
  </si>
  <si>
    <t>PERSONALITY TRAITS</t>
  </si>
  <si>
    <t>Hit Point Max</t>
  </si>
  <si>
    <t>DEX</t>
  </si>
  <si>
    <t>Strength</t>
  </si>
  <si>
    <t>Dexterity</t>
  </si>
  <si>
    <t>Constitution</t>
  </si>
  <si>
    <t>CURRENT HIT POINTS</t>
  </si>
  <si>
    <t>IDEALS</t>
  </si>
  <si>
    <t>Intelligence</t>
  </si>
  <si>
    <t>Condition</t>
  </si>
  <si>
    <t>Wisdom</t>
  </si>
  <si>
    <t>CON</t>
  </si>
  <si>
    <t>Charisma</t>
  </si>
  <si>
    <t>SAVING THROWS</t>
  </si>
  <si>
    <t>TEMPORARY HIT POINTS</t>
  </si>
  <si>
    <t>BONDS</t>
  </si>
  <si>
    <t>Acrobatics</t>
  </si>
  <si>
    <t xml:space="preserve"> (Dex)</t>
  </si>
  <si>
    <t>SUC.</t>
  </si>
  <si>
    <t>Animal Handling</t>
  </si>
  <si>
    <t>(Wis)</t>
  </si>
  <si>
    <t>FAIL.</t>
  </si>
  <si>
    <t>INT</t>
  </si>
  <si>
    <t>Arcana</t>
  </si>
  <si>
    <t xml:space="preserve">(Int) </t>
  </si>
  <si>
    <t>HIT DICE</t>
  </si>
  <si>
    <t>FLAWS</t>
  </si>
  <si>
    <t>Athletics</t>
  </si>
  <si>
    <t xml:space="preserve">(Str)    </t>
  </si>
  <si>
    <t>ALIGNMENT:</t>
  </si>
  <si>
    <t>Deception</t>
  </si>
  <si>
    <t xml:space="preserve">  (Cha) </t>
  </si>
  <si>
    <t>History</t>
  </si>
  <si>
    <t xml:space="preserve">(Int)  </t>
  </si>
  <si>
    <t>Insight</t>
  </si>
  <si>
    <t xml:space="preserve">   (Wis)</t>
  </si>
  <si>
    <t>NAME</t>
  </si>
  <si>
    <t>ATK BONUS</t>
  </si>
  <si>
    <t>DAMAGE/TYPE</t>
  </si>
  <si>
    <t>WIS</t>
  </si>
  <si>
    <t>Intimidation</t>
  </si>
  <si>
    <t xml:space="preserve"> (Cha)</t>
  </si>
  <si>
    <t>Investigation</t>
  </si>
  <si>
    <t xml:space="preserve">  (Int)</t>
  </si>
  <si>
    <t>Medicine</t>
  </si>
  <si>
    <t xml:space="preserve">(Wis)   </t>
  </si>
  <si>
    <t>Nature</t>
  </si>
  <si>
    <t xml:space="preserve"> (Int)</t>
  </si>
  <si>
    <t>Perception</t>
  </si>
  <si>
    <t>CHA</t>
  </si>
  <si>
    <t>Performance</t>
  </si>
  <si>
    <t>(Cha)</t>
  </si>
  <si>
    <t>Persuasion</t>
  </si>
  <si>
    <t xml:space="preserve">(Cha) </t>
  </si>
  <si>
    <t>Religion</t>
  </si>
  <si>
    <t>Sleight of Hand</t>
  </si>
  <si>
    <t>(Dex)</t>
  </si>
  <si>
    <t>Stealth</t>
  </si>
  <si>
    <t xml:space="preserve">(Dex) </t>
  </si>
  <si>
    <t>Survival</t>
  </si>
  <si>
    <t xml:space="preserve">  (Wis) </t>
  </si>
  <si>
    <t>PASSIVE WISDOM (PERCEPTION)</t>
  </si>
  <si>
    <t>Armor Proficiencies:</t>
  </si>
  <si>
    <t>Weapon Proficiencies:</t>
  </si>
  <si>
    <t>Other Proficiencies:</t>
  </si>
  <si>
    <t>Other Speeds:</t>
  </si>
  <si>
    <t>PROFICIENCIES</t>
  </si>
  <si>
    <t>◅ Language List</t>
  </si>
  <si>
    <t>◅ Non-race Languages</t>
  </si>
  <si>
    <t>◅ Backgrounds</t>
  </si>
  <si>
    <t>◅ Associated Skills</t>
  </si>
  <si>
    <t>◅ # of Languages</t>
  </si>
  <si>
    <t>◅ Tool Proficiencies</t>
  </si>
  <si>
    <t>◅ Vehicle Proficiencies</t>
  </si>
  <si>
    <t>◅ Sorted for Menus</t>
  </si>
  <si>
    <t>Thieves' Cant</t>
  </si>
  <si>
    <t>Acolyte</t>
  </si>
  <si>
    <t>Insight, Religion</t>
  </si>
  <si>
    <t>Druidic</t>
  </si>
  <si>
    <t>Charlatan</t>
  </si>
  <si>
    <t>Deception, Sleight of Hand</t>
  </si>
  <si>
    <t>Draconic</t>
  </si>
  <si>
    <t>Deep Speech</t>
  </si>
  <si>
    <t>Criminal</t>
  </si>
  <si>
    <t>Deception, Stealth</t>
  </si>
  <si>
    <t>Entertainer</t>
  </si>
  <si>
    <t>Acrobatics, Performance</t>
  </si>
  <si>
    <t>Dwarvish</t>
  </si>
  <si>
    <t>Folk Hero</t>
  </si>
  <si>
    <t>Animal Handling, Survival</t>
  </si>
  <si>
    <t>Elvish</t>
  </si>
  <si>
    <t>Guild Artisan</t>
  </si>
  <si>
    <t>Insight, Persuasion</t>
  </si>
  <si>
    <t>Gnomish</t>
  </si>
  <si>
    <t>Hermit</t>
  </si>
  <si>
    <t>Medicine, Religion</t>
  </si>
  <si>
    <t>Halfling</t>
  </si>
  <si>
    <t>Noble</t>
  </si>
  <si>
    <t>History, Persuasion</t>
  </si>
  <si>
    <t>Infernal</t>
  </si>
  <si>
    <t>Outlander</t>
  </si>
  <si>
    <t>Athletics, Survival</t>
  </si>
  <si>
    <t>Orc</t>
  </si>
  <si>
    <t>Sage</t>
  </si>
  <si>
    <t>Arcana, History</t>
  </si>
  <si>
    <t>Sailor</t>
  </si>
  <si>
    <t>Athletics, Perception</t>
  </si>
  <si>
    <t>Soldier</t>
  </si>
  <si>
    <t>Athletics, Intimidation</t>
  </si>
  <si>
    <t>Urchin</t>
  </si>
  <si>
    <t>Sleight of Hand, Stealth</t>
  </si>
  <si>
    <t xml:space="preserve">FEATURES &amp; TRAITS     </t>
  </si>
  <si>
    <t>Right click and 'Insert note' to add details on any box.</t>
  </si>
  <si>
    <t>SPELLCASTING</t>
  </si>
  <si>
    <t>SPELL</t>
  </si>
  <si>
    <t>ABILITY</t>
  </si>
  <si>
    <t>SAVE DC</t>
  </si>
  <si>
    <t>ATTACK BONUS</t>
  </si>
  <si>
    <t>c</t>
  </si>
  <si>
    <t>CANTRIPS</t>
  </si>
  <si>
    <t>SLOTS</t>
  </si>
  <si>
    <t>MAX</t>
  </si>
  <si>
    <t>AGE</t>
  </si>
  <si>
    <t>HEIGHT</t>
  </si>
  <si>
    <t>WEIGHT</t>
  </si>
  <si>
    <t>SIZE</t>
  </si>
  <si>
    <t>GENDER</t>
  </si>
  <si>
    <t>EYES</t>
  </si>
  <si>
    <t>HAIR</t>
  </si>
  <si>
    <t>SKIN</t>
  </si>
  <si>
    <t>Name</t>
  </si>
  <si>
    <t>Top</t>
  </si>
  <si>
    <t>Bottom</t>
  </si>
  <si>
    <t>Dragon</t>
  </si>
  <si>
    <t>http://i.imgur.com/3GVZzam.png</t>
  </si>
  <si>
    <t>http://i.imgur.com/miU7se3.png</t>
  </si>
  <si>
    <t>Undead</t>
  </si>
  <si>
    <t>http://i.imgur.com/Yw2rhH6.png</t>
  </si>
  <si>
    <t>https://i.imgur.com/G8kk6zf.png</t>
  </si>
  <si>
    <t>Magic</t>
  </si>
  <si>
    <t>http://i.imgur.com/Pnzh0Lq.png</t>
  </si>
  <si>
    <t>Airship</t>
  </si>
  <si>
    <t>http://i.imgur.com/4GdhXW2.png</t>
  </si>
  <si>
    <t>Artificer</t>
  </si>
  <si>
    <t>https://i.imgur.com/tVDSt3v.png</t>
  </si>
  <si>
    <t>Barbarian</t>
  </si>
  <si>
    <t>https://i.imgur.com/gjtfTEm.png</t>
  </si>
  <si>
    <t>Bard</t>
  </si>
  <si>
    <t>https://i.imgur.com/5HYYXoz.png</t>
  </si>
  <si>
    <t xml:space="preserve">               ALLIES &amp; ORGANIZATIONS</t>
  </si>
  <si>
    <t>Cleric</t>
  </si>
  <si>
    <t>https://i.imgur.com/hOgeNi7.png</t>
  </si>
  <si>
    <t>Druid</t>
  </si>
  <si>
    <t>https://i.imgur.com/5ZZQ7Jh.png</t>
  </si>
  <si>
    <t>Fighter</t>
  </si>
  <si>
    <t>https://i.imgur.com/UI4mejB.png</t>
  </si>
  <si>
    <t>Monk</t>
  </si>
  <si>
    <t>https://i.imgur.com/lqUQ6YL.png</t>
  </si>
  <si>
    <t>Paladin</t>
  </si>
  <si>
    <t>https://i.imgur.com/uSFG6vd.png</t>
  </si>
  <si>
    <t>Ranger</t>
  </si>
  <si>
    <t>https://i.imgur.com/x6BHYTe.png</t>
  </si>
  <si>
    <t>Rogue</t>
  </si>
  <si>
    <t>https://i.imgur.com/3llLqBB.png</t>
  </si>
  <si>
    <t>Sorcerer</t>
  </si>
  <si>
    <t>https://i.imgur.com/ssrZYbl.png</t>
  </si>
  <si>
    <t>CHARACTER APPEARANCE</t>
  </si>
  <si>
    <t>Warlock</t>
  </si>
  <si>
    <t>https://i.imgur.com/QBhqRiG.png</t>
  </si>
  <si>
    <t>Wizard</t>
  </si>
  <si>
    <t>https://i.imgur.com/EOiSGxi.png</t>
  </si>
  <si>
    <t>Verbose</t>
  </si>
  <si>
    <t>https://i.imgur.com/VyFvlcw.png</t>
  </si>
  <si>
    <t>Iconic</t>
  </si>
  <si>
    <t>https://i.imgur.com/Nh6zWQZ.png</t>
  </si>
  <si>
    <t>HEADER</t>
  </si>
  <si>
    <t>COLOR SCHEME</t>
  </si>
  <si>
    <t>Blank</t>
  </si>
  <si>
    <t>https://i.imgur.com/iDgWYL1.png</t>
  </si>
  <si>
    <t>APPEARANCE URL</t>
  </si>
  <si>
    <t>SYMBOL URL</t>
  </si>
  <si>
    <t>CUSTOMIZATION</t>
  </si>
  <si>
    <t>CHARACTER BACKSTORY</t>
  </si>
  <si>
    <t>v2.1 sheet by I F Evans based on v1.3 sheet by DM David Lester based on the official D&amp;D character sheet available at Wizards.com/DnD.  (TM &amp; © 2014 Wizards of the Coast LLC.)</t>
  </si>
  <si>
    <t>1ST LEVEL</t>
  </si>
  <si>
    <t>2ND LEVEL</t>
  </si>
  <si>
    <t>3RD LEVEL</t>
  </si>
  <si>
    <t>4TH LEVEL</t>
  </si>
  <si>
    <t>5TH LEVEL</t>
  </si>
  <si>
    <t>6TH LEVEL</t>
  </si>
  <si>
    <t>7TH LEVEL</t>
  </si>
  <si>
    <t>8TH LEVEL</t>
  </si>
  <si>
    <t>9TH LEVEL</t>
  </si>
  <si>
    <t>bludgeoning</t>
  </si>
  <si>
    <t>piercing</t>
  </si>
  <si>
    <t>CLASS</t>
  </si>
  <si>
    <t>RESISTANCES</t>
  </si>
  <si>
    <t>IMMUNITIES</t>
  </si>
  <si>
    <t>VULNERABILITIES</t>
  </si>
  <si>
    <t>slashing</t>
  </si>
  <si>
    <t>acid</t>
  </si>
  <si>
    <t>cold</t>
  </si>
  <si>
    <t>fire</t>
  </si>
  <si>
    <t>force</t>
  </si>
  <si>
    <t>lightning</t>
  </si>
  <si>
    <t>necrotic</t>
  </si>
  <si>
    <t>poison</t>
  </si>
  <si>
    <t>psychic</t>
  </si>
  <si>
    <t>radiant</t>
  </si>
  <si>
    <t>thunder</t>
  </si>
  <si>
    <t>CP</t>
  </si>
  <si>
    <t>SP</t>
  </si>
  <si>
    <t>GP</t>
  </si>
  <si>
    <t>PP</t>
  </si>
  <si>
    <t>COINS</t>
  </si>
  <si>
    <t>WEALTH</t>
  </si>
  <si>
    <t>#</t>
  </si>
  <si>
    <t>ITEM</t>
  </si>
  <si>
    <t>BACKPACK</t>
  </si>
  <si>
    <t>COST</t>
  </si>
  <si>
    <t>EQUIPPED</t>
  </si>
  <si>
    <t>TREASURE</t>
  </si>
  <si>
    <t>Cost</t>
  </si>
  <si>
    <t>Weight</t>
  </si>
  <si>
    <t>GEAR &amp; LOOT</t>
  </si>
  <si>
    <t>/</t>
  </si>
  <si>
    <t>PARTY LOOT</t>
  </si>
  <si>
    <t>PARTY GOLD LEDGER</t>
  </si>
  <si>
    <t>AMOUNT</t>
  </si>
  <si>
    <t>NOTE</t>
  </si>
  <si>
    <t>Coin</t>
  </si>
  <si>
    <t>Max</t>
  </si>
  <si>
    <t>INVENTORY &amp; TREASURE</t>
  </si>
  <si>
    <t>Make a Copy</t>
  </si>
  <si>
    <t>To use the sheet at all, you need to first go to File &gt; Make a copy... to make your own copy to edit.</t>
  </si>
  <si>
    <t>Don't move any of the cells around and never insert extra rows or columns.</t>
  </si>
  <si>
    <t>Formulas</t>
  </si>
  <si>
    <t>Most boxes automatically calculate, including modifiers, skill totals, PHB weapons and the equipment section.  Check the formula bar at the top</t>
  </si>
  <si>
    <t>to see if there is a formula before filling out a field. If you have a bonus from another source that isn't accounted for, DON'T DELETE THE FORMULA,</t>
  </si>
  <si>
    <t>just add an extra +# in there along with other +'s at the end. Some things are now accountable for using the Info tabs.</t>
  </si>
  <si>
    <t>Radio Buttons / Blank Diamonds</t>
  </si>
  <si>
    <t>The sheet includes some faux radio buttons.  To "fill in" the buttons, enter any character you wish ('x', '1', etc) except '0'.</t>
  </si>
  <si>
    <t>Entering '0' into a radio button will clear it. The skill buttons additionally support 'e' for expertise, and double proficiency bonus appropriately.</t>
  </si>
  <si>
    <t>Half proficiency is accounted for automatically if you are a bard of appropriate level.</t>
  </si>
  <si>
    <t>Notes</t>
  </si>
  <si>
    <t>Read ALL the notes I've added! And you can add your own. Right click and "Insert note" to add details for features, traits, and so on.</t>
  </si>
  <si>
    <t>Equipment &amp; Treasure</t>
  </si>
  <si>
    <t>The sheet auto-calculates total weight and wealth (coin wealth separately) along with comparing total weight to your carry capacity.</t>
  </si>
  <si>
    <t>When filling in value, you're free to use denomination symbols, like "cp" and "gp" after the value.  Otherwise the sheet will assume gp.</t>
  </si>
  <si>
    <t>(Ex: "2 cp", "1 sp", "500 pp", "100,000 gp")  In contrast, weight is always lb. so just use plain numbers.  (0.5 will be converted to 1/2 lb. and so on.)</t>
  </si>
  <si>
    <t>Never drag entries around, this ruins the formatting, only copy/paste and delete the previous.  This goes for most of the sheet.</t>
  </si>
  <si>
    <t>Spells</t>
  </si>
  <si>
    <t xml:space="preserve">Radio buttons are used to represent prepared spells  You can hide spell level blocks by selecting/hiding their rows, convenient for lower-level </t>
  </si>
  <si>
    <t>characters. Multiclassing isn't well supported in the spells section if you have different spellcasting abilities for each class, but the granted spell slots</t>
  </si>
  <si>
    <t>by level will add up to the correct amount.</t>
  </si>
  <si>
    <t>Weapons, Equipable Items, Races, &amp; Classes</t>
  </si>
  <si>
    <t>The sheet automatically recognizes all PHB weapons and armor, along with most races and classes. To add your own homebrew, navigate to the</t>
  </si>
  <si>
    <t xml:space="preserve">appropriate Info sheet (e.g. Gear Info for Armor) and fill in the details for your weapon/armor/item/race/class. It will then be selectable from the </t>
  </si>
  <si>
    <t>appropriate dropdown menus in each section (classes aren't dropdown, just fill the Class and Levels cell in and spell everything right).</t>
  </si>
  <si>
    <t>Customization</t>
  </si>
  <si>
    <t>You can use the dropbown boxes to select alternate headers or color schemes. If you don't select a header, the header will automatically change to</t>
  </si>
  <si>
    <t>the header for the class you chose at 1st level. You can copy the blank headers and make your own as well. You can insert your own images for your</t>
  </si>
  <si>
    <t>character's appearance and symbol, just paste the image's URL in Customization where noted.  Appearance images should be 251x335+ pixels while</t>
  </si>
  <si>
    <t>symbol images should be 188x188+ pixels.  Entering a faction name ("Harpers", "Order of the Gauntlet", etc) will make a banner automatically appear.</t>
  </si>
  <si>
    <t>Blank Space</t>
  </si>
  <si>
    <t>A lot of the blank space around the sheet is now used. To the right of the HP/AC/INIT section is a column for entering your rolled hit points at each</t>
  </si>
  <si>
    <t>level. To the RIGHT of the skills and saves is where you can override the automatically calculated adv/dis. And more. See the notes.</t>
  </si>
  <si>
    <t>Have Fun</t>
  </si>
  <si>
    <t>Send questions/comments/suggestions about the original sheet to dallanlester@gmail.com. (Don't bother him about formulas though) Seriously,</t>
  </si>
  <si>
    <t>there isn't much for you to email him about at this point. Ask questions on the Avrae Dev Server. Someone will be able to answer them.</t>
  </si>
  <si>
    <t>Companion/Mounts</t>
  </si>
  <si>
    <t>Below is a section that can no longer be copy/pasted over anything since PROFICIENCIES is used in the formulas.</t>
  </si>
  <si>
    <t>Coming Never</t>
  </si>
  <si>
    <t>The big plan was to create a Builder page to have things even more automated and also include better support for homebrew. That isn't happening.</t>
  </si>
  <si>
    <t xml:space="preserve">         FEATURES &amp; INTSTRUCTIONS</t>
  </si>
  <si>
    <t>DON'T copy and paste this box over NOTES for a companion. NOTES has been changed to</t>
  </si>
  <si>
    <t>PROFICIENCIES, and is referenced by the formulas used to determine attack bonuses.</t>
  </si>
  <si>
    <t>Speed</t>
  </si>
  <si>
    <t>NOTE: Classes with spaces in their names will not work due to limitations of the system.</t>
  </si>
  <si>
    <t>I might eventually figure out a workaround for this, but don't hold your breath. Even once</t>
  </si>
  <si>
    <t>I get space-name classes working, Blood Hunter will probably still not fully be supported</t>
  </si>
  <si>
    <t>because there are several things the class does that are unlike anything else and working</t>
  </si>
  <si>
    <t>COMPANION</t>
  </si>
  <si>
    <t>all that into the system simply isn't worth my time.</t>
  </si>
  <si>
    <t>WEAPONS &amp; ATTACKS</t>
  </si>
  <si>
    <t>If you are adding weapons/attacks, be sure to follow
the format of the existing weapons.</t>
  </si>
  <si>
    <t>If a weapon/attack doesn't have a certain quality,
put only a minus sign (-) in that cell.
DO NOT LEAVE CELLS BLANK.</t>
  </si>
  <si>
    <t>Attack/Weapon Name</t>
  </si>
  <si>
    <t>Damage
Die</t>
  </si>
  <si>
    <t>Damage
Type</t>
  </si>
  <si>
    <t>Proficiency
Category</t>
  </si>
  <si>
    <t>Range
Classification</t>
  </si>
  <si>
    <t>Monk
Weapon</t>
  </si>
  <si>
    <t>Enchantment
Bonus</t>
  </si>
  <si>
    <t>Bonus
Damage
Die</t>
  </si>
  <si>
    <t>Bonus
Damage
Type</t>
  </si>
  <si>
    <t>Attack
Ability
Override</t>
  </si>
  <si>
    <t>Weapon Properties</t>
  </si>
  <si>
    <t>Apply
Ability
Mod?</t>
  </si>
  <si>
    <t>Unarmed Strike</t>
  </si>
  <si>
    <t>Unarmed</t>
  </si>
  <si>
    <t>Melee</t>
  </si>
  <si>
    <t>-</t>
  </si>
  <si>
    <t>Two-Handed Unarmed Strike</t>
  </si>
  <si>
    <t>Natural</t>
  </si>
  <si>
    <t>Improvised Weapon</t>
  </si>
  <si>
    <t>1d4</t>
  </si>
  <si>
    <t>Improvised</t>
  </si>
  <si>
    <t>Melee or Ranged</t>
  </si>
  <si>
    <t>Club</t>
  </si>
  <si>
    <t>Simple</t>
  </si>
  <si>
    <t>Light</t>
  </si>
  <si>
    <t>Offhand Club</t>
  </si>
  <si>
    <t>Dagger</t>
  </si>
  <si>
    <t>Finesse, Light, Thrown (range 20/60)</t>
  </si>
  <si>
    <t>Offhand Dagger</t>
  </si>
  <si>
    <t>Greatclub</t>
  </si>
  <si>
    <t>1d8</t>
  </si>
  <si>
    <t>Two-Handed</t>
  </si>
  <si>
    <t>Handaxe</t>
  </si>
  <si>
    <t>Light, Thrown (range 20/60)</t>
  </si>
  <si>
    <t>Offhand Handaxe</t>
  </si>
  <si>
    <t>Javelin</t>
  </si>
  <si>
    <t>Thrown (range 30/120)</t>
  </si>
  <si>
    <t>Light Hammer</t>
  </si>
  <si>
    <t>Offhand Light Hammer</t>
  </si>
  <si>
    <t>Mace</t>
  </si>
  <si>
    <t>Offhand Mace</t>
  </si>
  <si>
    <t>Quarterstaff</t>
  </si>
  <si>
    <t>Versatile (1d8)</t>
  </si>
  <si>
    <t>Two-Handed Quarterstaff</t>
  </si>
  <si>
    <t>Quarterstaff (Opposite End)</t>
  </si>
  <si>
    <t>Sickle</t>
  </si>
  <si>
    <t>Offhand Sickle</t>
  </si>
  <si>
    <t>Spear</t>
  </si>
  <si>
    <t>Thrown (range 20/60), Versatile (1d8)</t>
  </si>
  <si>
    <t>Spear (Opposite End)</t>
  </si>
  <si>
    <t>Two-Handed Spear</t>
  </si>
  <si>
    <t>Light Crossbow</t>
  </si>
  <si>
    <t>Ranged</t>
  </si>
  <si>
    <t>Ammunition (range 80/320), Loading, Two-Handed</t>
  </si>
  <si>
    <t>Dart</t>
  </si>
  <si>
    <t>Finesse, Thrown (range 20/60)</t>
  </si>
  <si>
    <t>Shortbow</t>
  </si>
  <si>
    <t>1d6</t>
  </si>
  <si>
    <t>Ammunition (range 80/320), Two-Handed</t>
  </si>
  <si>
    <t>Sling</t>
  </si>
  <si>
    <t>Ammunition (range 30/120)</t>
  </si>
  <si>
    <t>Battleaxe</t>
  </si>
  <si>
    <t>Martial</t>
  </si>
  <si>
    <t>Versatile (1d10)</t>
  </si>
  <si>
    <t>Two-Handed Battleaxe</t>
  </si>
  <si>
    <t>1d10</t>
  </si>
  <si>
    <t>Offhand Battleaxe</t>
  </si>
  <si>
    <t>Flail</t>
  </si>
  <si>
    <t>Offhand Flail</t>
  </si>
  <si>
    <t>Glaive</t>
  </si>
  <si>
    <t>Heavy, Reach, Two-Handed</t>
  </si>
  <si>
    <t>Glaive (Opposite End)</t>
  </si>
  <si>
    <t>Greataxe</t>
  </si>
  <si>
    <t>1d12</t>
  </si>
  <si>
    <t>Heavy, Two-Handed</t>
  </si>
  <si>
    <t>Greatsword</t>
  </si>
  <si>
    <t>2d6</t>
  </si>
  <si>
    <t>Halberd</t>
  </si>
  <si>
    <t>Halberd (Opposite End)</t>
  </si>
  <si>
    <t>Lance</t>
  </si>
  <si>
    <t>Reach, Special - You have disadvantage when you use a lance to attack a target within 5 feet of you. Also, a lance requires two hands to wield when you aren't mounted.</t>
  </si>
  <si>
    <t>Longsword</t>
  </si>
  <si>
    <t>Two-Handed Longsword</t>
  </si>
  <si>
    <t>Offhand Longsword</t>
  </si>
  <si>
    <t>Maul</t>
  </si>
  <si>
    <t>Morningstar</t>
  </si>
  <si>
    <t>Offhand Morningstar</t>
  </si>
  <si>
    <t>Pike</t>
  </si>
  <si>
    <t>Pike (Opposite End)</t>
  </si>
  <si>
    <t>Rapier</t>
  </si>
  <si>
    <t>Finesse</t>
  </si>
  <si>
    <t>Offhand Rapier</t>
  </si>
  <si>
    <t>Scimitar</t>
  </si>
  <si>
    <t>Finesse, Light</t>
  </si>
  <si>
    <t>Offhand Scimitar</t>
  </si>
  <si>
    <t>Shortsword</t>
  </si>
  <si>
    <t>Offhand Shortsword</t>
  </si>
  <si>
    <t>Trident</t>
  </si>
  <si>
    <t>Two-Handed Trident</t>
  </si>
  <si>
    <t>War Pick</t>
  </si>
  <si>
    <t>Offhand War Pick</t>
  </si>
  <si>
    <t>Warhammer</t>
  </si>
  <si>
    <t>Two-Handed Warhammer</t>
  </si>
  <si>
    <t>Offhand Warhammer</t>
  </si>
  <si>
    <t>Whip</t>
  </si>
  <si>
    <t>Finesse, Reach</t>
  </si>
  <si>
    <t>Blowgun</t>
  </si>
  <si>
    <t>Ammunition (range 25/100), Loading</t>
  </si>
  <si>
    <t>Hand Crossbow</t>
  </si>
  <si>
    <t>Ammunition (range 30/120), Light, Loading</t>
  </si>
  <si>
    <t>Heavy Crossbow</t>
  </si>
  <si>
    <t>Ammunition (range 100/400), Heavy, Loading, Two-Handed</t>
  </si>
  <si>
    <t>Longbow</t>
  </si>
  <si>
    <t>Ammunition (150/600), Heavy, Two-Handed</t>
  </si>
  <si>
    <t>Net</t>
  </si>
  <si>
    <t>Thrown (range 5/15), Special - A Large or smaller creature hit by a net is restrained until it is freed. See `!item net` for more details.</t>
  </si>
  <si>
    <t>Eldritch Blast</t>
  </si>
  <si>
    <t>Spell</t>
  </si>
  <si>
    <t>Dagger +1</t>
  </si>
  <si>
    <t>magical piercing</t>
  </si>
  <si>
    <t>Offhand Dagger +1</t>
  </si>
  <si>
    <t>Flame Tongue Longsword</t>
  </si>
  <si>
    <t>magical slashing</t>
  </si>
  <si>
    <t>Versatile (1d10)
**Flame Tongue**
You can use a bonus action to speak this magic sword's command word, causing flames to erupt from the blade. These flames shed bright light in a 40-foot radius and dim light for an additional 40 feet. While the sword is ablaze, it deals an extra 2d6 fire damage to any target it hits. The flames last until you use a bonus action to speak the command word again or until you drop or sheathe the sword.</t>
  </si>
  <si>
    <t>Two-Handed Flame Tongue Longsword</t>
  </si>
  <si>
    <t>Fire Bolt</t>
  </si>
  <si>
    <t>Luck Blade Rapier</t>
  </si>
  <si>
    <t>Finesse
**Luck Blade**
You gain a +1 bonus to attack and damage rolls made with this magic weapon. While the sword is on your person, you also gain a +1 bonus to saving throws.
**Luck**
If the sword is on your person, you can call on its luck (no action required) to reroll one attack roll, ability check, or saving throw you dislike. You must use the second roll. This property can't be used again until the next dawn.
**Wish**
The sword has 1d4-1 charges. While holding it, you can use an action to expend 1 charge and cast the wish spell from it. This property can't be used again until the next dawn. The sword loses this property if it has no charges.</t>
  </si>
  <si>
    <t>Hammer of Thunderbolts</t>
  </si>
  <si>
    <t>magical bludgeoning</t>
  </si>
  <si>
    <t>Giant's Bane (Requires Attunement). You must be wearing a belt of giant strength (any variety) and gauntlets of ogre power to attune to this weapon. The attunement ends if you take off either of those items. While you are attuned to this weapon and holding it, your Strength score increases by 4 to a maximum of 30. When you roll a 20 on an attack roll made with this weapon against a giant, the giant must succeed on a DC 17 Constitution saving throw or die.
The hammer also has 5 charges. While attuned to it, you can expend 1 charge and make a ranged weapon attack with the hammer, hurling it as if it had the thrown property with a normal range of 20 feet and a long range of 60 feet. If the attack hits, the hammer unleashes a thunderclap audible out to 300 feet. The target and every creature within 30 feet of it must succeed on a DC 17 Constitution saving throw or be stunned until the end of your next turn. The hammer regains 1d4+1 expended charges daily at dawn.</t>
  </si>
  <si>
    <t>Longbow +1</t>
  </si>
  <si>
    <t>Silvered Rapier</t>
  </si>
  <si>
    <t>silvered piercing</t>
  </si>
  <si>
    <t>ARMOR &amp; WEARABLES</t>
  </si>
  <si>
    <t>If you are adding items, be sure to follow
the format of the existing items.</t>
  </si>
  <si>
    <t>If an item doesn't have a certain quality,
put only a minus sign (-) in that cell.
DO NOT LEAVE CELLS BLANK.</t>
  </si>
  <si>
    <t>Armor/Wearable Name</t>
  </si>
  <si>
    <t>Armor
Class
Bonus</t>
  </si>
  <si>
    <t>Maximum
Dexterity
Modifier</t>
  </si>
  <si>
    <t>Category</t>
  </si>
  <si>
    <t>Strength
Required</t>
  </si>
  <si>
    <t>Stealth
Dis/advantage</t>
  </si>
  <si>
    <t>Proficiency
Bonus
Bonus</t>
  </si>
  <si>
    <t>Skills
Bonus</t>
  </si>
  <si>
    <t>Saves
Bonus</t>
  </si>
  <si>
    <t>Additional
Properties</t>
  </si>
  <si>
    <t>Padded</t>
  </si>
  <si>
    <t>Light Armor</t>
  </si>
  <si>
    <t>Disadvantage</t>
  </si>
  <si>
    <t>Leather</t>
  </si>
  <si>
    <t>Studded Leather</t>
  </si>
  <si>
    <t>Hide</t>
  </si>
  <si>
    <t>Medium Armor</t>
  </si>
  <si>
    <t>Chain Shirt</t>
  </si>
  <si>
    <t>Scale Mail</t>
  </si>
  <si>
    <t>Breastplate</t>
  </si>
  <si>
    <t>Half Plate</t>
  </si>
  <si>
    <t>Ring Mail</t>
  </si>
  <si>
    <t>Heavy Armor</t>
  </si>
  <si>
    <t>Chain Mail</t>
  </si>
  <si>
    <t>Splint</t>
  </si>
  <si>
    <t>Plate</t>
  </si>
  <si>
    <t>Shield</t>
  </si>
  <si>
    <t>Common Clothes</t>
  </si>
  <si>
    <t>Clothes</t>
  </si>
  <si>
    <t>Costume</t>
  </si>
  <si>
    <t>Fine Clothes</t>
  </si>
  <si>
    <t>Traveler's Clothes</t>
  </si>
  <si>
    <t>Robes</t>
  </si>
  <si>
    <t>Vestments</t>
  </si>
  <si>
    <t>RACE OPTIONS</t>
  </si>
  <si>
    <t>If you are adding races, be sure to follow
the format of the existing races.</t>
  </si>
  <si>
    <t>If a race doesn't have a certain quality,
put only a minus sign (-) in that cell.
DO NOT LEAVE CELLS BLANK</t>
  </si>
  <si>
    <t>Race Name</t>
  </si>
  <si>
    <t>Ability Score Increases</t>
  </si>
  <si>
    <t>Natural
Armor
Class</t>
  </si>
  <si>
    <t>Bonus
HP per
Level</t>
  </si>
  <si>
    <t>Resistances, Immunities, and Vulnerabilities</t>
  </si>
  <si>
    <t>Languages</t>
  </si>
  <si>
    <t>Natural
Attack</t>
  </si>
  <si>
    <t>Bonus Weapon 
and Armor
Proficiencies</t>
  </si>
  <si>
    <t>Other
Features &amp;
Proficiencies</t>
  </si>
  <si>
    <t>Hill Dwarf</t>
  </si>
  <si>
    <t>con +2, wis +1</t>
  </si>
  <si>
    <t>Dwarven Resilience
You have advantage on saving throws against poison, and you have resistance against poison damage.</t>
  </si>
  <si>
    <t>Common, Dwarvish</t>
  </si>
  <si>
    <t>Battleaxe, Handaxe, Light Hammer, Warhammer</t>
  </si>
  <si>
    <t>1 Tool (Artisan's Tools)</t>
  </si>
  <si>
    <t>High Elf</t>
  </si>
  <si>
    <t>dex +2, int +1</t>
  </si>
  <si>
    <t>Common, Elvish, 1 extra</t>
  </si>
  <si>
    <t>Longsword, Shortsword, Shortbow, Longbow</t>
  </si>
  <si>
    <t>Keen Senses
You gain proficiency in the Perception skill.</t>
  </si>
  <si>
    <t>Lightfoot Halfling</t>
  </si>
  <si>
    <t>dex +2, cha +1</t>
  </si>
  <si>
    <t>Common, Halfling</t>
  </si>
  <si>
    <t>str +1, dex +1, con +1, int +1, wis +1, cha +1</t>
  </si>
  <si>
    <t>Common, 1 extra</t>
  </si>
  <si>
    <t>Black Dragonborn</t>
  </si>
  <si>
    <t>str +2, cha +1</t>
  </si>
  <si>
    <t>Damage Resistance
You have resistance to Acid damage.</t>
  </si>
  <si>
    <t>Common, Draconic</t>
  </si>
  <si>
    <t>Blue Dragonborn</t>
  </si>
  <si>
    <t>Damage Resistance
You have resistance to Lightning damage.</t>
  </si>
  <si>
    <t>Brass Dragonborn</t>
  </si>
  <si>
    <t>Damage Resistance
You have resistance to Fire damage.</t>
  </si>
  <si>
    <t>Bronze Dragonborn</t>
  </si>
  <si>
    <t>Copper Dragonborn</t>
  </si>
  <si>
    <t>Gold Dragonborn</t>
  </si>
  <si>
    <t>Green Dragonborn</t>
  </si>
  <si>
    <t>Damage Resistance
You have resistance to Poison damage.</t>
  </si>
  <si>
    <t>Red Dragonborn</t>
  </si>
  <si>
    <t>Silver Dragonborn</t>
  </si>
  <si>
    <t>Damage Resistance
You have resistance to Cold damage.</t>
  </si>
  <si>
    <t>White Dragonborn</t>
  </si>
  <si>
    <t>Rock Gnome</t>
  </si>
  <si>
    <t>int +2, con +1</t>
  </si>
  <si>
    <t>Common, Gnomish</t>
  </si>
  <si>
    <t>1 Tool (Tinker's Tools)</t>
  </si>
  <si>
    <t>Half-Elf</t>
  </si>
  <si>
    <t>cha +2, choose 2: str +1, dex +1, con +1, int +1, wis +1</t>
  </si>
  <si>
    <t>Skill Versatility
You gain proficiency in two skills of your choice.</t>
  </si>
  <si>
    <t>Half-Orc</t>
  </si>
  <si>
    <t>str +2, con +1</t>
  </si>
  <si>
    <t>--</t>
  </si>
  <si>
    <t>Common, Orc</t>
  </si>
  <si>
    <t>Menacing
You gain proficiency in the Intimidation skill.</t>
  </si>
  <si>
    <t>Tiefling</t>
  </si>
  <si>
    <t>int +1, cha +2</t>
  </si>
  <si>
    <t>Common, Infernal</t>
  </si>
  <si>
    <t>There will be no more races added to this sheet.</t>
  </si>
  <si>
    <t>CLASSES &amp; SUBCLASSES</t>
  </si>
  <si>
    <t>If you are adding classes or subclasses, follow
the format of the existing classes and ADD THEM TO THE END, after the existing entries.</t>
  </si>
  <si>
    <t>If a class doesn't have or a subclass doesn't alter
something, put only a minus sign (-) in that cell.
DO NOT LEAVE CELLS BLANK.</t>
  </si>
  <si>
    <t>Class Name</t>
  </si>
  <si>
    <t>Subclass</t>
  </si>
  <si>
    <t>Alt
Armor
Class</t>
  </si>
  <si>
    <t>Hit Die
Size</t>
  </si>
  <si>
    <t>Init
Bonus</t>
  </si>
  <si>
    <t>Saving Throw
Proficiencies &amp;
Class Skills</t>
  </si>
  <si>
    <t>1st Level Exclusive
Proficiencies</t>
  </si>
  <si>
    <t>Additional/
Multiclassing Proficiencies</t>
  </si>
  <si>
    <t>Spellcasting Type</t>
  </si>
  <si>
    <t>Spellcasting
Ability</t>
  </si>
  <si>
    <t>Speed Increase</t>
  </si>
  <si>
    <t>10+dex+con</t>
  </si>
  <si>
    <t>d12</t>
  </si>
  <si>
    <t>Strength, Constitution, Choose 2, Animal Handling, Athletics, Intimidation, Nature, Perception, Survival</t>
  </si>
  <si>
    <t>Light Armor, Medium Armor</t>
  </si>
  <si>
    <t>Shields, Simple Weapons, Martial Weapons</t>
  </si>
  <si>
    <t>Berserker</t>
  </si>
  <si>
    <t>d8</t>
  </si>
  <si>
    <t>Dexterity, Charisma, Choose 2, Acrobatics, Animal Handling, Arcana, Athletics, Deception, History, Insight, Intimidation, Investigation, Medicine, Nature, Perception, Performance, Persuasion, Religion, Sleight of Hand, Stealth, Survival</t>
  </si>
  <si>
    <t>Simple Weapons, Hand Crossbow, Longsword, Rapier, Shortsword, 2 Tools (Musical Instruments)</t>
  </si>
  <si>
    <t>Light Armor, 1 Skill, 1 Tool (Musical Instrument)</t>
  </si>
  <si>
    <t>Full Caster</t>
  </si>
  <si>
    <t>Lore</t>
  </si>
  <si>
    <t>Wisdom, Charisma, Choose 2, History, Insight, Medicine, Persuasion, Religion</t>
  </si>
  <si>
    <t>Simple Weapons</t>
  </si>
  <si>
    <t>Light Armor, Medium Armor, Shields</t>
  </si>
  <si>
    <t>Life</t>
  </si>
  <si>
    <t>Intelligence, Wisdom, Choose 2, Arcana, Animal Handling, Insight, Medicine, Nature, Perception, Religion, Survival</t>
  </si>
  <si>
    <t>Club, Dagger, Dart, Javelin, Mace, Quarterstaff, Scimitar, Sickle, Sling, Spear</t>
  </si>
  <si>
    <t>Light Armor, Medium Armor, Shields, NoMetal, Druidic, 1 Tool (Herbalism Kit)</t>
  </si>
  <si>
    <t>Land</t>
  </si>
  <si>
    <t>d10</t>
  </si>
  <si>
    <t>Strength, Constitution, Choose 2, Acrobatics, Animal Handling, Athletics, History, Insight, Intimidation, Perception, Survival</t>
  </si>
  <si>
    <t>Light Armor, Medium Armor, Shields, Simple Weapons, Martial Weapons</t>
  </si>
  <si>
    <t>Champion</t>
  </si>
  <si>
    <t>10+dex+wis</t>
  </si>
  <si>
    <t>1 Tool (Artisan's Tools or Musical Instrument)</t>
  </si>
  <si>
    <t>Simple Weapons, Shortsword</t>
  </si>
  <si>
    <t>Open Hand</t>
  </si>
  <si>
    <t>Wisdom, Charisma, Choose 2, Athletics, Insight, Intimidation, Medicine, Persuasion, Religion</t>
  </si>
  <si>
    <t>Half Caster</t>
  </si>
  <si>
    <t>Devotion</t>
  </si>
  <si>
    <t>Strength, Dexterity, Choose 2, Animal Handling, Athletics, Insight, Investigation, Nature, Perception, Stealth, Survival</t>
  </si>
  <si>
    <t>Light Armor, Medium Armor, Shields, Simple Weapons, Martial Weapons, 1 Skill</t>
  </si>
  <si>
    <t>Hunter</t>
  </si>
  <si>
    <t>Dexterity, Intelligence, Choose 3, Acrobatics, Athletics, Deception, Insight, Intimidation, Investigation, Perception, Performance, Persuasion, Sleight of Hand, Stealth</t>
  </si>
  <si>
    <t>Simple Weapons, Hand Crossbow, Longsword, Rapier, Shortsword</t>
  </si>
  <si>
    <t>Light Armor, 1 Skill, Thieves' Cant, 1 Tool (Thieves' Tools)</t>
  </si>
  <si>
    <t>Thief</t>
  </si>
  <si>
    <t>d6</t>
  </si>
  <si>
    <t>Constitution, Charisma, Choose 2, Arcana, Deception, Insight, Intimidation, Persuasion, Religion</t>
  </si>
  <si>
    <t>Dagger, Dart, Sling, Quarterstaff, Light Crossbow</t>
  </si>
  <si>
    <t>Draconic Bloodline</t>
  </si>
  <si>
    <t>13+dex</t>
  </si>
  <si>
    <t>Wisdom, Charisma, Choose 2, Arcana, Deception, History, Intimidation, Investigation, Nature, Religion</t>
  </si>
  <si>
    <t>Light Armor, Simple Weapons</t>
  </si>
  <si>
    <t>Pact Magic</t>
  </si>
  <si>
    <t>Fiend</t>
  </si>
  <si>
    <t>Intelligence, Wisdom, Choose 2, Arcana, History, Insight, Investigation, Medicine, Religion</t>
  </si>
  <si>
    <t>Evocation</t>
  </si>
  <si>
    <t>There will be no more class options added to this sheet.</t>
  </si>
  <si>
    <t>Let's start a changelog.</t>
  </si>
  <si>
    <t>Tons of stuff had been changed up to this point from the original 2.1, but oh well.</t>
  </si>
  <si>
    <t>4.29.2021</t>
  </si>
  <si>
    <t>Fixed the calculation for tool proficiencies in cell C52.</t>
  </si>
  <si>
    <t>6.13.2021</t>
  </si>
  <si>
    <t>Added more conditional formatting to highlight when cells have not been filled in on the Info pages since that is the most common error.</t>
  </si>
  <si>
    <t>6.25.2021</t>
  </si>
  <si>
    <t>Made it actually look for Armor and Shield proficiency when it's written in manually in the Other Proficiencies area instead of just taking the Armored feats or multiclassing like normal.</t>
  </si>
  <si>
    <t>Accounted for people manually adding proficiencies to classes that have no armor proficiencies.</t>
  </si>
  <si>
    <t>7.4.2021</t>
  </si>
  <si>
    <t>Fixed that google cut off the ranges during import for race info.</t>
  </si>
  <si>
    <t>7.29.2021</t>
  </si>
  <si>
    <t>Added check for Lifedrinker invocation. If you have the invocation and an attack that has "pact" in it, it will apply properly now.</t>
  </si>
  <si>
    <t>8.11.2021</t>
  </si>
  <si>
    <t>Stopped giving racial tool proficiencies twice. The fix did not take 4 days, I just forgot to erase that from the name cell.</t>
  </si>
  <si>
    <t>8.15.2021</t>
  </si>
  <si>
    <t>Fixed Data Validation range for Equipped Items section. Only saw up to row 95, now sees the whole Gear Info page.</t>
  </si>
  <si>
    <t>9.18.2021</t>
  </si>
  <si>
    <t>Added support for the Lightly Armored feat because the other two Armored feats were already in there.</t>
  </si>
  <si>
    <t>9.20.2021</t>
  </si>
  <si>
    <t>Finally gave rogues proficiency with Thieves' Tools so it'll say they right number of Tool Proficiencies in the Proficiency box.</t>
  </si>
  <si>
    <t>3.10.2023</t>
  </si>
  <si>
    <t>Fixed some missing image issues.</t>
  </si>
  <si>
    <t>3.25.2023</t>
  </si>
  <si>
    <t>Brand new inventory sheet. Hated the way gsheet never loads tall images properly, so made the inventory sheet into several boxes for tracking different things instead.</t>
  </si>
  <si>
    <t>3.26.2023</t>
  </si>
  <si>
    <t>Reverted inventory sheet, but fixed gsheet tall images. New format was breaking Avrae import. Hid the new inventory sheet for potential future use - Croebh</t>
  </si>
  <si>
    <t>5.13.2023</t>
  </si>
  <si>
    <t>Removed all non-SRD options from the Race Info and Class Info pages.</t>
  </si>
</sst>
</file>

<file path=xl/styles.xml><?xml version="1.0" encoding="utf-8"?>
<styleSheet xmlns="http://schemas.openxmlformats.org/spreadsheetml/2006/main" xmlns:x14ac="http://schemas.microsoft.com/office/spreadsheetml/2009/9/ac" xmlns:mc="http://schemas.openxmlformats.org/markup-compatibility/2006">
  <numFmts count="30">
    <numFmt numFmtId="164" formatCode="&quot;&quot;;&quot;&quot;;&quot;&quot;;&quot;&quot;"/>
    <numFmt numFmtId="165" formatCode="##;-##;0"/>
    <numFmt numFmtId="166" formatCode="#,###;-#,###;0"/>
    <numFmt numFmtId="167" formatCode="&quot;✧&quot;;&quot;✧&quot;;&quot;&quot;;&quot;✧&quot;"/>
    <numFmt numFmtId="168" formatCode=" ; ; ; "/>
    <numFmt numFmtId="169" formatCode="&quot;+&quot;#;&quot;-&quot;#;+0"/>
    <numFmt numFmtId="170" formatCode="0&quot; ft&quot;"/>
    <numFmt numFmtId="171" formatCode="&quot;+&quot;0;&quot;-&quot;0"/>
    <numFmt numFmtId="172" formatCode="&quot;+&quot;#;&quot;-&quot;#"/>
    <numFmt numFmtId="173" formatCode="#;-#;00"/>
    <numFmt numFmtId="174" formatCode="#;-#;0"/>
    <numFmt numFmtId="175" formatCode="#,###"/>
    <numFmt numFmtId="176" formatCode="◉;◉;〇;◉"/>
    <numFmt numFmtId="177" formatCode="#,##0.00 gp; -#,##0.00 gp;0.0  gp"/>
    <numFmt numFmtId="178" formatCode="#,### #/## &quot;lb.&quot;"/>
    <numFmt numFmtId="179" formatCode="#,###.##&quot; gp&quot;;-#,###.##&quot; gp&quot;;&quot;Priceless&quot;"/>
    <numFmt numFmtId="180" formatCode="&quot;+&quot;#;&quot;-&quot;#;&quot;+&quot;0"/>
    <numFmt numFmtId="181" formatCode="# &quot;ft.&quot;"/>
    <numFmt numFmtId="182" formatCode="#,### &quot;lb.&quot;"/>
    <numFmt numFmtId="183" formatCode="◆;◆;◇;◆"/>
    <numFmt numFmtId="184" formatCode="#,###.##&quot; gp&quot;;-#,###.##&quot; gp&quot;"/>
    <numFmt numFmtId="185" formatCode="#,###.##&quot; gp&quot;;-#,###.##&quot; gp&quot;;&quot;—&quot;"/>
    <numFmt numFmtId="186" formatCode="&quot;CARRIED:&quot; #,###.## &quot;lb.&quot;;WAT;&quot;CARRIED:&quot; 0 &quot;lb.&quot;"/>
    <numFmt numFmtId="187" formatCode="#,### #/## &quot;lb. MAXIMUM&quot;"/>
    <numFmt numFmtId="188" formatCode="#,##0.00[$ OD]"/>
    <numFmt numFmtId="189" formatCode="#,###.00&quot; gp&quot;;-#,###.00&quot; gp&quot;"/>
    <numFmt numFmtId="190" formatCode="#,###.00&quot; lb.&quot;;-#,###.00&quot; lb.&quot;"/>
    <numFmt numFmtId="191" formatCode="&quot;◉&quot;;&quot;◉&quot;;&quot;〇&quot;;&quot;◉&quot;"/>
    <numFmt numFmtId="192" formatCode="#&quot; ft.&quot;"/>
    <numFmt numFmtId="193" formatCode="&quot;(+&quot;#&quot;)&quot;;&quot;(-&quot;#&quot;)&quot;;&quot;(+&quot;0&quot;)&quot;"/>
  </numFmts>
  <fonts count="107">
    <font>
      <sz val="10.0"/>
      <color rgb="FF000000"/>
      <name val="Calibri"/>
      <scheme val="minor"/>
    </font>
    <font>
      <color theme="1"/>
      <name val="Calibri"/>
      <scheme val="minor"/>
    </font>
    <font>
      <sz val="6.0"/>
      <color rgb="FF999999"/>
      <name val="Trebuchet MS"/>
    </font>
    <font>
      <i/>
      <sz val="8.0"/>
      <color rgb="FF999999"/>
      <name val="Georgia"/>
    </font>
    <font>
      <i/>
      <sz val="8.0"/>
      <color rgb="FF000000"/>
      <name val="Georgia"/>
    </font>
    <font>
      <color theme="1"/>
      <name val="Georgia"/>
    </font>
    <font/>
    <font>
      <sz val="7.0"/>
      <color rgb="FF434343"/>
      <name val="Georgia"/>
    </font>
    <font>
      <sz val="9.0"/>
      <color rgb="FF999999"/>
      <name val="Georgia"/>
    </font>
    <font>
      <sz val="7.0"/>
      <color rgb="FF666666"/>
      <name val="Trebuchet MS"/>
    </font>
    <font>
      <sz val="14.0"/>
      <color theme="1"/>
      <name val="Georgia"/>
    </font>
    <font>
      <i/>
      <sz val="20.0"/>
      <color rgb="FF434343"/>
      <name val="Georgia"/>
    </font>
    <font>
      <sz val="18.0"/>
      <color rgb="FF999999"/>
      <name val="Georgia"/>
    </font>
    <font>
      <sz val="20.0"/>
      <color rgb="FF434343"/>
      <name val="Georgia"/>
    </font>
    <font>
      <sz val="10.0"/>
      <color rgb="FF434343"/>
      <name val="Georgia"/>
    </font>
    <font>
      <sz val="6.0"/>
      <color rgb="FFB7B7B7"/>
      <name val="Trebuchet MS"/>
    </font>
    <font>
      <b/>
      <sz val="6.0"/>
      <color theme="1"/>
      <name val="Arial"/>
    </font>
    <font>
      <sz val="24.0"/>
      <color rgb="FF434343"/>
      <name val="Calibri"/>
      <scheme val="minor"/>
    </font>
    <font>
      <color theme="1"/>
      <name val="Arial"/>
    </font>
    <font>
      <b/>
      <sz val="8.0"/>
      <color rgb="FF000000"/>
      <name val="Trebuchet MS"/>
    </font>
    <font>
      <i/>
      <sz val="8.0"/>
      <color rgb="FF666666"/>
      <name val="Georgia"/>
    </font>
    <font>
      <i/>
      <sz val="8.0"/>
      <color rgb="FFDDDDDD"/>
      <name val="Georgia"/>
    </font>
    <font>
      <sz val="8.0"/>
      <color rgb="FF000000"/>
      <name val="Trebuchet MS"/>
    </font>
    <font>
      <sz val="9.0"/>
      <color rgb="FF000000"/>
      <name val="Georgia"/>
    </font>
    <font>
      <sz val="10.0"/>
      <color theme="1"/>
      <name val="Trebuchet MS"/>
    </font>
    <font>
      <sz val="14.0"/>
      <color rgb="FF434343"/>
      <name val="Georgia"/>
    </font>
    <font>
      <i/>
      <sz val="8.0"/>
      <color rgb="FF434343"/>
      <name val="Georgia"/>
    </font>
    <font>
      <i/>
      <sz val="10.0"/>
      <color rgb="FF434343"/>
      <name val="Georgia"/>
    </font>
    <font>
      <color rgb="FFFFFFFF"/>
      <name val="Georgia"/>
    </font>
    <font>
      <color rgb="FF999999"/>
      <name val="Georgia"/>
    </font>
    <font>
      <i/>
      <sz val="8.0"/>
      <color rgb="FFFFFFFF"/>
      <name val="Georgia"/>
    </font>
    <font>
      <sz val="8.0"/>
      <color rgb="FFCCCCCC"/>
      <name val="Trebuchet MS"/>
    </font>
    <font>
      <sz val="6.0"/>
      <color rgb="FFFFFFFF"/>
      <name val="Trebuchet MS"/>
    </font>
    <font>
      <color rgb="FF434343"/>
      <name val="Trebuchet MS"/>
    </font>
    <font>
      <sz val="9.0"/>
      <color theme="1"/>
      <name val="Trebuchet MS"/>
    </font>
    <font>
      <i/>
      <sz val="6.0"/>
      <color rgb="FFFFFFFF"/>
      <name val="Trebuchet MS"/>
    </font>
    <font>
      <i/>
      <sz val="16.0"/>
      <color rgb="FF434343"/>
      <name val="Georgia"/>
    </font>
    <font>
      <b/>
      <sz val="8.0"/>
      <color theme="1"/>
      <name val="Trebuchet MS"/>
    </font>
    <font>
      <sz val="10.0"/>
      <color rgb="FF434343"/>
      <name val="Trebuchet MS"/>
    </font>
    <font>
      <color rgb="FF434343"/>
      <name val="Georgia"/>
    </font>
    <font>
      <sz val="8.0"/>
      <color theme="1"/>
      <name val="Trebuchet MS"/>
    </font>
    <font>
      <sz val="9.0"/>
      <color rgb="FF666666"/>
      <name val="Georgia"/>
    </font>
    <font>
      <sz val="6.0"/>
      <color rgb="FF000000"/>
      <name val="Trebuchet MS"/>
    </font>
    <font>
      <sz val="8.0"/>
      <color rgb="FFCCCCCC"/>
      <name val="Georgia"/>
    </font>
    <font>
      <sz val="8.0"/>
      <color rgb="FFCCCCCC"/>
      <name val="Calibri"/>
      <scheme val="minor"/>
    </font>
    <font>
      <sz val="10.0"/>
      <color theme="1"/>
      <name val="Georgia"/>
    </font>
    <font>
      <i/>
      <sz val="7.0"/>
      <color rgb="FF999999"/>
      <name val="Georgia"/>
    </font>
    <font>
      <sz val="7.0"/>
      <color rgb="FFCCCCCC"/>
      <name val="Trebuchet MS"/>
    </font>
    <font>
      <sz val="9.0"/>
      <color rgb="FF434343"/>
      <name val="Georgia"/>
    </font>
    <font>
      <sz val="6.0"/>
      <color rgb="FF434343"/>
      <name val="Georgia"/>
    </font>
    <font>
      <b/>
      <sz val="6.0"/>
      <color rgb="FFFFFFFF"/>
      <name val="Trebuchet MS"/>
    </font>
    <font>
      <b/>
      <sz val="8.0"/>
      <color rgb="FFCCCCCC"/>
      <name val="Arial"/>
    </font>
    <font>
      <color rgb="FFFFFFFF"/>
      <name val="Calibri"/>
      <scheme val="minor"/>
    </font>
    <font>
      <sz val="8.0"/>
      <color rgb="FF999999"/>
      <name val="Georgia"/>
    </font>
    <font>
      <sz val="12.0"/>
      <color rgb="FF434343"/>
      <name val="Georgia"/>
    </font>
    <font>
      <sz val="8.0"/>
      <color rgb="FF434343"/>
      <name val="Georgia"/>
    </font>
    <font>
      <sz val="9.0"/>
      <color theme="1"/>
      <name val="Georgia"/>
    </font>
    <font>
      <i/>
      <sz val="9.0"/>
      <color theme="1"/>
      <name val="Georgia"/>
    </font>
    <font>
      <b/>
      <sz val="12.0"/>
      <color rgb="FF999999"/>
      <name val="Trebuchet MS"/>
    </font>
    <font>
      <sz val="10.0"/>
      <color rgb="FF999999"/>
      <name val="Trebuchet MS"/>
    </font>
    <font>
      <b/>
      <sz val="9.0"/>
      <color theme="1"/>
      <name val="Georgia"/>
    </font>
    <font>
      <sz val="10.0"/>
      <color rgb="FF434343"/>
      <name val="Arial"/>
    </font>
    <font>
      <color rgb="FF434343"/>
      <name val="Calibri"/>
      <scheme val="minor"/>
    </font>
    <font>
      <sz val="16.0"/>
      <color rgb="FF999999"/>
      <name val="Georgia"/>
    </font>
    <font>
      <sz val="11.0"/>
      <color rgb="FF000000"/>
      <name val="Inconsolata"/>
    </font>
    <font>
      <sz val="9.0"/>
      <color rgb="FF434343"/>
      <name val="Trebuchet MS"/>
    </font>
    <font>
      <sz val="7.0"/>
      <color rgb="FFB7B7B7"/>
      <name val="Trebuchet MS"/>
    </font>
    <font>
      <i/>
      <color theme="1"/>
      <name val="Georgia"/>
    </font>
    <font>
      <sz val="7.0"/>
      <color theme="1"/>
      <name val="Trebuchet MS"/>
    </font>
    <font>
      <u/>
      <sz val="6.0"/>
      <color rgb="FF999999"/>
      <name val="Trebuchet MS"/>
    </font>
    <font>
      <u/>
      <sz val="6.0"/>
      <color rgb="FF999999"/>
      <name val="Trebuchet MS"/>
    </font>
    <font>
      <u/>
      <sz val="6.0"/>
      <color rgb="FF999999"/>
      <name val="Trebuchet MS"/>
    </font>
    <font>
      <u/>
      <sz val="6.0"/>
      <color rgb="FF999999"/>
      <name val="Trebuchet MS"/>
    </font>
    <font>
      <u/>
      <sz val="6.0"/>
      <color rgb="FF999999"/>
      <name val="Trebuchet MS"/>
    </font>
    <font>
      <sz val="6.0"/>
      <color rgb="FF999999"/>
      <name val="Georgia"/>
    </font>
    <font>
      <i/>
      <sz val="8.0"/>
      <color theme="1"/>
      <name val="Georgia"/>
    </font>
    <font>
      <b/>
      <sz val="8.0"/>
      <color rgb="FF434343"/>
      <name val="Georgia"/>
    </font>
    <font>
      <b/>
      <sz val="9.0"/>
      <color rgb="FF434343"/>
      <name val="Georgia"/>
    </font>
    <font>
      <i/>
      <sz val="8.0"/>
      <color rgb="FF999999"/>
      <name val="Play"/>
    </font>
    <font>
      <color theme="1"/>
      <name val="Play"/>
    </font>
    <font>
      <color rgb="FF999999"/>
      <name val="Arial"/>
    </font>
    <font>
      <sz val="9.0"/>
      <color rgb="FFCC4125"/>
      <name val="Pangolin"/>
    </font>
    <font>
      <sz val="9.0"/>
      <color rgb="FFB7B7B7"/>
      <name val="Pangolin"/>
    </font>
    <font>
      <sz val="9.0"/>
      <color rgb="FFBF9000"/>
      <name val="Pangolin"/>
    </font>
    <font>
      <sz val="9.0"/>
      <color rgb="FF6FA8DC"/>
      <name val="Pangolin"/>
    </font>
    <font>
      <sz val="9.0"/>
      <color rgb="FF999999"/>
      <name val="Trebuchet MS"/>
    </font>
    <font>
      <b/>
      <sz val="9.0"/>
      <color rgb="FF666666"/>
      <name val="Trebuchet MS"/>
    </font>
    <font>
      <sz val="6.0"/>
      <color rgb="FFCCCCCC"/>
      <name val="Trebuchet MS"/>
    </font>
    <font>
      <sz val="6.0"/>
      <color rgb="FF434343"/>
      <name val="Trebuchet MS"/>
    </font>
    <font>
      <sz val="7.0"/>
      <color rgb="FF434343"/>
      <name val="Trebuchet MS"/>
    </font>
    <font>
      <color theme="1"/>
      <name val="Trebuchet MS"/>
    </font>
    <font>
      <b/>
      <sz val="10.0"/>
      <color rgb="FF000000"/>
      <name val="Trebuchet MS"/>
    </font>
    <font>
      <color rgb="FFBF9000"/>
      <name val="Pangolin"/>
    </font>
    <font>
      <sz val="7.0"/>
      <color rgb="FF999999"/>
      <name val="Trebuchet MS"/>
    </font>
    <font>
      <sz val="6.0"/>
      <color theme="1"/>
      <name val="Trebuchet MS"/>
    </font>
    <font>
      <sz val="9.0"/>
      <color rgb="FFE69138"/>
      <name val="Pangolin"/>
    </font>
    <font>
      <b/>
      <sz val="9.0"/>
      <color theme="1"/>
      <name val="Trebuchet MS"/>
    </font>
    <font>
      <b/>
      <sz val="9.0"/>
      <color rgb="FF980000"/>
      <name val="Trebuchet MS"/>
    </font>
    <font>
      <sz val="9.0"/>
      <color rgb="FF000000"/>
      <name val="Trebuchet MS"/>
    </font>
    <font>
      <b/>
      <sz val="8.0"/>
      <color theme="1"/>
      <name val="Calibri"/>
      <scheme val="minor"/>
    </font>
    <font>
      <sz val="10.0"/>
      <color rgb="FF000000"/>
      <name val="Trebuchet MS"/>
    </font>
    <font>
      <sz val="8.0"/>
      <color rgb="FF999999"/>
      <name val="Trebuchet MS"/>
    </font>
    <font>
      <b/>
      <sz val="8.0"/>
      <color rgb="FF434343"/>
      <name val="Trebuchet MS"/>
    </font>
    <font>
      <sz val="8.0"/>
      <color rgb="FF434343"/>
      <name val="Trebuchet MS"/>
    </font>
    <font>
      <sz val="8.0"/>
      <color rgb="FFFFFFFF"/>
      <name val="Trebuchet MS"/>
    </font>
    <font>
      <b/>
      <sz val="14.0"/>
      <color theme="1"/>
      <name val="Trebuchet MS"/>
    </font>
    <font>
      <sz val="8.0"/>
      <color rgb="FFFF0000"/>
      <name val="Trebuchet MS"/>
    </font>
  </fonts>
  <fills count="10">
    <fill>
      <patternFill patternType="none"/>
    </fill>
    <fill>
      <patternFill patternType="lightGray"/>
    </fill>
    <fill>
      <patternFill patternType="solid">
        <fgColor rgb="FFF3F3F3"/>
        <bgColor rgb="FFF3F3F3"/>
      </patternFill>
    </fill>
    <fill>
      <patternFill patternType="solid">
        <fgColor rgb="FFFFFFFF"/>
        <bgColor rgb="FFFFFFFF"/>
      </patternFill>
    </fill>
    <fill>
      <patternFill patternType="solid">
        <fgColor rgb="FFDDDDDD"/>
        <bgColor rgb="FFDDDDDD"/>
      </patternFill>
    </fill>
    <fill>
      <patternFill patternType="solid">
        <fgColor rgb="FFE6E7E7"/>
        <bgColor rgb="FFE6E7E7"/>
      </patternFill>
    </fill>
    <fill>
      <patternFill patternType="solid">
        <fgColor rgb="FFDFDFDF"/>
        <bgColor rgb="FFDFDFDF"/>
      </patternFill>
    </fill>
    <fill>
      <patternFill patternType="solid">
        <fgColor rgb="FFDDDEDE"/>
        <bgColor rgb="FFDDDEDE"/>
      </patternFill>
    </fill>
    <fill>
      <patternFill patternType="solid">
        <fgColor rgb="FFF8FAF8"/>
        <bgColor rgb="FFF8FAF8"/>
      </patternFill>
    </fill>
    <fill>
      <patternFill patternType="solid">
        <fgColor rgb="FFFFFF00"/>
        <bgColor rgb="FFFFFF00"/>
      </patternFill>
    </fill>
  </fills>
  <borders count="74">
    <border/>
    <border>
      <right/>
    </border>
    <border>
      <left style="thin">
        <color rgb="FF000000"/>
      </left>
    </border>
    <border>
      <right style="thin">
        <color rgb="FF000000"/>
      </right>
    </border>
    <border>
      <bottom style="thin">
        <color rgb="FFCCCCCC"/>
      </bottom>
    </border>
    <border>
      <top style="thin">
        <color rgb="FF000000"/>
      </top>
    </border>
    <border>
      <bottom style="thin">
        <color rgb="FF000000"/>
      </bottom>
    </border>
    <border>
      <right style="thin">
        <color rgb="FFFFFFFF"/>
      </right>
    </border>
    <border>
      <left style="thin">
        <color rgb="FFFFFFFF"/>
      </left>
      <top style="thin">
        <color rgb="FFFFFFFF"/>
      </top>
    </border>
    <border>
      <top style="thin">
        <color rgb="FFFFFFFF"/>
      </top>
    </border>
    <border>
      <right style="thin">
        <color rgb="FFFFFFFF"/>
      </right>
      <top style="thin">
        <color rgb="FFFFFFFF"/>
      </top>
    </border>
    <border>
      <left style="thin">
        <color rgb="FFFFFFFF"/>
      </left>
      <top style="thin">
        <color rgb="FFFFFFFF"/>
      </top>
      <bottom style="thin">
        <color rgb="FFDDDDDD"/>
      </bottom>
    </border>
    <border>
      <top style="thin">
        <color rgb="FFFFFFFF"/>
      </top>
      <bottom style="thin">
        <color rgb="FFDDDDDD"/>
      </bottom>
    </border>
    <border>
      <right style="thin">
        <color rgb="FFFFFFFF"/>
      </right>
      <top style="thin">
        <color rgb="FFFFFFFF"/>
      </top>
      <bottom style="thin">
        <color rgb="FFDDDDDD"/>
      </bottom>
    </border>
    <border>
      <left style="thin">
        <color rgb="FFFFFFFF"/>
      </left>
      <bottom style="thin">
        <color rgb="FFDDDDDD"/>
      </bottom>
    </border>
    <border>
      <bottom style="thin">
        <color rgb="FFDDDDDD"/>
      </bottom>
    </border>
    <border>
      <right style="thin">
        <color rgb="FFFFFFFF"/>
      </right>
      <bottom style="thin">
        <color rgb="FFDDDDDD"/>
      </bottom>
    </border>
    <border>
      <left style="thin">
        <color rgb="FFFFFFFF"/>
      </left>
      <top style="thin">
        <color rgb="FFDDDDDD"/>
      </top>
    </border>
    <border>
      <right style="thin">
        <color rgb="FFFFFFFF"/>
      </right>
      <top style="thin">
        <color rgb="FFDDDDDD"/>
      </top>
    </border>
    <border>
      <left style="thin">
        <color rgb="FFFFFFFF"/>
      </left>
    </border>
    <border>
      <right style="thin">
        <color rgb="FFDDDDDD"/>
      </right>
    </border>
    <border>
      <left style="thin">
        <color rgb="FFDDDDDD"/>
      </left>
    </border>
    <border>
      <top style="thin">
        <color rgb="FF000000"/>
      </top>
      <bottom style="thin">
        <color rgb="FFD9D9D9"/>
      </bottom>
    </border>
    <border>
      <top style="thin">
        <color rgb="FFD9D9D9"/>
      </top>
      <bottom style="thin">
        <color rgb="FFD9D9D9"/>
      </bottom>
    </border>
    <border>
      <top style="thin">
        <color rgb="FF000000"/>
      </top>
      <bottom style="thin">
        <color rgb="FF000000"/>
      </bottom>
    </border>
    <border>
      <top style="thin">
        <color rgb="FFD9D9D9"/>
      </top>
      <bottom style="thin">
        <color rgb="FF000000"/>
      </bottom>
    </border>
    <border>
      <left style="thin">
        <color rgb="FFB7B7B7"/>
      </left>
      <right style="thin">
        <color rgb="FFB7B7B7"/>
      </right>
      <top style="thin">
        <color rgb="FF000000"/>
      </top>
      <bottom style="thin">
        <color rgb="FF000000"/>
      </bottom>
    </border>
    <border>
      <bottom style="thin">
        <color rgb="FFD9D9D9"/>
      </bottom>
    </border>
    <border>
      <top style="thin">
        <color rgb="FFDDDDDD"/>
      </top>
    </border>
    <border>
      <top style="thin">
        <color rgb="FFFFFFFF"/>
      </top>
      <bottom style="thin">
        <color rgb="FFFFFFFF"/>
      </bottom>
    </border>
    <border>
      <bottom style="thin">
        <color rgb="FFFFFFFF"/>
      </bottom>
    </border>
    <border>
      <left style="thin">
        <color rgb="FFB7B7B7"/>
      </left>
      <right style="thin">
        <color rgb="FFB7B7B7"/>
      </right>
      <top style="thin">
        <color rgb="FF000000"/>
      </top>
      <bottom style="thin">
        <color rgb="FFB7B7B7"/>
      </bottom>
    </border>
    <border>
      <left style="thin">
        <color rgb="FFFFFFFF"/>
      </left>
      <bottom style="thin">
        <color rgb="FFFFFFFF"/>
      </bottom>
    </border>
    <border>
      <right style="thin">
        <color rgb="FFFFFFFF"/>
      </right>
      <bottom style="thin">
        <color rgb="FFFFFFFF"/>
      </bottom>
    </border>
    <border>
      <top style="thin">
        <color rgb="FFD9D9D9"/>
      </top>
    </border>
    <border>
      <top style="thin">
        <color rgb="FFD9D9D9"/>
      </top>
      <bottom style="thin">
        <color rgb="FFCCCCCC"/>
      </bottom>
    </border>
    <border>
      <bottom style="thin">
        <color rgb="FFEFEFEF"/>
      </bottom>
    </border>
    <border>
      <left style="thin">
        <color rgb="FF000000"/>
      </left>
      <bottom style="thin">
        <color rgb="FFDFDFDF"/>
      </bottom>
    </border>
    <border>
      <bottom style="thin">
        <color rgb="FFDFDFDF"/>
      </bottom>
    </border>
    <border>
      <right style="thin">
        <color rgb="FF000000"/>
      </right>
      <bottom style="thin">
        <color rgb="FFDFDFDF"/>
      </bottom>
    </border>
    <border>
      <top style="thin">
        <color rgb="FFDFDFDF"/>
      </top>
    </border>
    <border>
      <bottom style="thin">
        <color rgb="FFDDDEDE"/>
      </bottom>
    </border>
    <border>
      <left style="thin">
        <color rgb="FFFFFFFF"/>
      </left>
      <top style="thin">
        <color rgb="FF000000"/>
      </top>
    </border>
    <border>
      <right style="thin">
        <color rgb="FFFFFFFF"/>
      </right>
      <top style="thin">
        <color rgb="FF000000"/>
      </top>
    </border>
    <border>
      <left style="thin">
        <color rgb="FFFFFFFF"/>
      </left>
      <top style="thin">
        <color rgb="FFDDDEDE"/>
      </top>
    </border>
    <border>
      <right style="thin">
        <color rgb="FFFFFFFF"/>
      </right>
      <top style="thin">
        <color rgb="FFDDDEDE"/>
      </top>
    </border>
    <border>
      <left style="thin">
        <color rgb="FF000000"/>
      </left>
      <top style="thin">
        <color rgb="FFFFFFFF"/>
      </top>
    </border>
    <border>
      <right style="thin">
        <color rgb="FF000000"/>
      </right>
      <top style="thin">
        <color rgb="FFFFFFFF"/>
      </top>
    </border>
    <border>
      <right style="thin">
        <color rgb="FFEFEFEF"/>
      </right>
      <bottom style="thin">
        <color rgb="FFEFEFEF"/>
      </bottom>
    </border>
    <border>
      <right/>
      <bottom style="thin">
        <color rgb="FFEFEFEF"/>
      </bottom>
    </border>
    <border>
      <left style="thin">
        <color rgb="FFFFFFFF"/>
      </left>
      <bottom style="thin">
        <color rgb="FFDDDEDE"/>
      </bottom>
    </border>
    <border>
      <left style="thin">
        <color rgb="FF000000"/>
      </left>
      <bottom style="thin">
        <color rgb="FFFFFFFF"/>
      </bottom>
    </border>
    <border>
      <right style="thin">
        <color rgb="FF000000"/>
      </right>
      <bottom style="thin">
        <color rgb="FFFFFFFF"/>
      </bottom>
    </border>
    <border>
      <right style="thin">
        <color rgb="FFFFFFFF"/>
      </right>
      <bottom style="thin">
        <color rgb="FFDDDEDE"/>
      </bottom>
    </border>
    <border>
      <top style="thin">
        <color rgb="FF434343"/>
      </top>
      <bottom style="thin">
        <color rgb="FFFFFFFF"/>
      </bottom>
    </border>
    <border>
      <right/>
      <bottom style="thin">
        <color rgb="FFD9D9D9"/>
      </bottom>
    </border>
    <border>
      <left/>
      <bottom style="thin">
        <color rgb="FFD9D9D9"/>
      </bottom>
    </border>
    <border>
      <right style="thin">
        <color rgb="FFD9D9D9"/>
      </right>
    </border>
    <border>
      <left style="thin">
        <color rgb="FFD9D9D9"/>
      </left>
    </border>
    <border>
      <left style="thin">
        <color rgb="FFD9D9D9"/>
      </left>
      <right style="thin">
        <color rgb="FFEFEFEF"/>
      </right>
      <bottom style="thin">
        <color rgb="FFEFEFEF"/>
      </bottom>
    </border>
    <border>
      <right style="thin">
        <color rgb="FFD9D9D9"/>
      </right>
      <bottom style="thin">
        <color rgb="FFEFEFEF"/>
      </bottom>
    </border>
    <border>
      <left style="thin">
        <color rgb="FFD9D9D9"/>
      </left>
      <right style="thin">
        <color rgb="FFEFEFEF"/>
      </right>
      <bottom style="thin">
        <color rgb="FFCCCCCC"/>
      </bottom>
    </border>
    <border>
      <right style="thin">
        <color rgb="FFD9D9D9"/>
      </right>
      <bottom style="thin">
        <color rgb="FFCCCCCC"/>
      </bottom>
    </border>
    <border>
      <left style="thin">
        <color rgb="FFD9D9D9"/>
      </left>
      <right style="thin">
        <color rgb="FFEFEFEF"/>
      </right>
    </border>
    <border>
      <bottom style="thin">
        <color rgb="FFB7B7B7"/>
      </bottom>
    </border>
    <border>
      <top style="thin">
        <color rgb="FFB7B7B7"/>
      </top>
      <bottom style="thin">
        <color rgb="FFD9D9D9"/>
      </bottom>
    </border>
    <border>
      <top style="thin">
        <color rgb="FF999999"/>
      </top>
      <bottom style="thin">
        <color rgb="FFD9D9D9"/>
      </bottom>
    </border>
    <border>
      <top style="thin">
        <color rgb="FF666666"/>
      </top>
      <bottom style="thin">
        <color rgb="FFD9D9D9"/>
      </bottom>
    </border>
    <border>
      <bottom style="thin">
        <color rgb="FF999999"/>
      </bottom>
    </border>
    <border>
      <bottom style="thin">
        <color rgb="FF666666"/>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561">
    <xf borderId="0" fillId="0" fontId="0" numFmtId="0" xfId="0" applyAlignment="1" applyFont="1">
      <alignment readingOrder="0" shrinkToFit="0" vertical="bottom" wrapText="0"/>
    </xf>
    <xf borderId="0" fillId="0" fontId="1" numFmtId="164" xfId="0" applyFont="1" applyNumberFormat="1"/>
    <xf borderId="0" fillId="2" fontId="2" numFmtId="0" xfId="0" applyAlignment="1" applyFill="1" applyFont="1">
      <alignment horizontal="left" shrinkToFit="0" vertical="center" wrapText="0"/>
    </xf>
    <xf borderId="0" fillId="2" fontId="2" numFmtId="0" xfId="0" applyAlignment="1" applyFont="1">
      <alignment horizontal="left" vertical="center"/>
    </xf>
    <xf borderId="0" fillId="0" fontId="1" numFmtId="0" xfId="0" applyFont="1"/>
    <xf borderId="0" fillId="0" fontId="3" numFmtId="0" xfId="0" applyAlignment="1" applyFont="1">
      <alignment horizontal="center" vertical="center"/>
    </xf>
    <xf borderId="0" fillId="0" fontId="4" numFmtId="0" xfId="0" applyAlignment="1" applyFont="1">
      <alignment horizontal="center" shrinkToFit="0" vertical="center" wrapText="0"/>
    </xf>
    <xf borderId="1" fillId="2" fontId="2" numFmtId="0" xfId="0" applyAlignment="1" applyBorder="1" applyFont="1">
      <alignment horizontal="left" shrinkToFit="0" vertical="center" wrapText="0"/>
    </xf>
    <xf borderId="1" fillId="2" fontId="2" numFmtId="0" xfId="0" applyAlignment="1" applyBorder="1" applyFont="1">
      <alignment horizontal="left" vertical="center"/>
    </xf>
    <xf borderId="0" fillId="0" fontId="4" numFmtId="0" xfId="0" applyAlignment="1" applyFont="1">
      <alignment horizontal="center" vertical="center"/>
    </xf>
    <xf borderId="2" fillId="0" fontId="5" numFmtId="0" xfId="0" applyAlignment="1" applyBorder="1" applyFont="1">
      <alignment vertical="center"/>
    </xf>
    <xf borderId="3" fillId="0" fontId="6" numFmtId="0" xfId="0" applyBorder="1" applyFont="1"/>
    <xf borderId="0" fillId="0" fontId="5" numFmtId="0" xfId="0" applyAlignment="1" applyFont="1">
      <alignment vertical="center"/>
    </xf>
    <xf borderId="0" fillId="2" fontId="2" numFmtId="49" xfId="0" applyAlignment="1" applyFont="1" applyNumberFormat="1">
      <alignment horizontal="left" vertical="center"/>
    </xf>
    <xf borderId="2" fillId="0" fontId="1" numFmtId="0" xfId="0" applyBorder="1" applyFont="1"/>
    <xf borderId="4" fillId="3" fontId="7" numFmtId="0" xfId="0" applyAlignment="1" applyBorder="1" applyFill="1" applyFont="1">
      <alignment horizontal="left" readingOrder="0" vertical="bottom"/>
    </xf>
    <xf borderId="4" fillId="0" fontId="6" numFmtId="0" xfId="0" applyBorder="1" applyFont="1"/>
    <xf borderId="4" fillId="3" fontId="8" numFmtId="0" xfId="0" applyAlignment="1" applyBorder="1" applyFont="1">
      <alignment horizontal="left" readingOrder="0" vertical="bottom"/>
    </xf>
    <xf borderId="0" fillId="0" fontId="9" numFmtId="0" xfId="0" applyAlignment="1" applyFont="1">
      <alignment horizontal="center" vertical="bottom"/>
    </xf>
    <xf borderId="3" fillId="0" fontId="5" numFmtId="0" xfId="0" applyAlignment="1" applyBorder="1" applyFont="1">
      <alignment vertical="center"/>
    </xf>
    <xf borderId="2" fillId="0" fontId="10" numFmtId="0" xfId="0" applyAlignment="1" applyBorder="1" applyFont="1">
      <alignment horizontal="center" vertical="center"/>
    </xf>
    <xf borderId="2" fillId="0" fontId="11" numFmtId="0" xfId="0" applyAlignment="1" applyBorder="1" applyFont="1">
      <alignment horizontal="center" readingOrder="0" vertical="top"/>
    </xf>
    <xf borderId="2" fillId="0" fontId="12" numFmtId="0" xfId="0" applyAlignment="1" applyBorder="1" applyFont="1">
      <alignment horizontal="center" vertical="center"/>
    </xf>
    <xf borderId="0" fillId="0" fontId="9" numFmtId="0" xfId="0" applyAlignment="1" applyFont="1">
      <alignment horizontal="left" vertical="top"/>
    </xf>
    <xf borderId="5" fillId="0" fontId="13" numFmtId="165" xfId="0" applyAlignment="1" applyBorder="1" applyFont="1" applyNumberFormat="1">
      <alignment horizontal="center" vertical="top"/>
    </xf>
    <xf borderId="5" fillId="0" fontId="6" numFmtId="0" xfId="0" applyBorder="1" applyFont="1"/>
    <xf borderId="0" fillId="2" fontId="2" numFmtId="0" xfId="0" applyAlignment="1" applyFont="1">
      <alignment vertical="center"/>
    </xf>
    <xf borderId="2" fillId="0" fontId="6" numFmtId="0" xfId="0" applyBorder="1" applyFont="1"/>
    <xf borderId="4" fillId="3" fontId="14" numFmtId="0" xfId="0" applyAlignment="1" applyBorder="1" applyFont="1">
      <alignment horizontal="left" readingOrder="0" vertical="bottom"/>
    </xf>
    <xf borderId="4" fillId="3" fontId="14" numFmtId="3" xfId="0" applyAlignment="1" applyBorder="1" applyFont="1" applyNumberFormat="1">
      <alignment horizontal="left" readingOrder="0" vertical="bottom"/>
    </xf>
    <xf borderId="4" fillId="0" fontId="8" numFmtId="166" xfId="0" applyAlignment="1" applyBorder="1" applyFont="1" applyNumberFormat="1">
      <alignment horizontal="left" vertical="bottom"/>
    </xf>
    <xf borderId="6" fillId="0" fontId="6" numFmtId="0" xfId="0" applyBorder="1" applyFont="1"/>
    <xf borderId="0" fillId="0" fontId="9" numFmtId="0" xfId="0" applyAlignment="1" applyFont="1">
      <alignment horizontal="center" vertical="top"/>
    </xf>
    <xf borderId="7" fillId="0" fontId="5" numFmtId="0" xfId="0" applyAlignment="1" applyBorder="1" applyFont="1">
      <alignment vertical="center"/>
    </xf>
    <xf borderId="8" fillId="0" fontId="1" numFmtId="0" xfId="0" applyBorder="1" applyFont="1"/>
    <xf borderId="9" fillId="0" fontId="6" numFmtId="0" xfId="0" applyBorder="1" applyFont="1"/>
    <xf borderId="10" fillId="0" fontId="6" numFmtId="0" xfId="0" applyBorder="1" applyFont="1"/>
    <xf borderId="11" fillId="0" fontId="5" numFmtId="0" xfId="0" applyAlignment="1" applyBorder="1" applyFont="1">
      <alignment vertical="center"/>
    </xf>
    <xf borderId="12" fillId="0" fontId="6" numFmtId="0" xfId="0" applyBorder="1" applyFont="1"/>
    <xf borderId="13" fillId="0" fontId="6" numFmtId="0" xfId="0" applyBorder="1" applyFont="1"/>
    <xf borderId="0" fillId="0" fontId="15" numFmtId="0" xfId="0" applyAlignment="1" applyFont="1">
      <alignment horizontal="center" vertical="center"/>
    </xf>
    <xf borderId="14" fillId="0" fontId="5" numFmtId="0" xfId="0" applyAlignment="1" applyBorder="1" applyFont="1">
      <alignment vertical="center"/>
    </xf>
    <xf borderId="15" fillId="0" fontId="6" numFmtId="0" xfId="0" applyBorder="1" applyFont="1"/>
    <xf borderId="16" fillId="0" fontId="6" numFmtId="0" xfId="0" applyBorder="1" applyFont="1"/>
    <xf borderId="17" fillId="0" fontId="1" numFmtId="0" xfId="0" applyBorder="1" applyFont="1"/>
    <xf borderId="6" fillId="4" fontId="1" numFmtId="0" xfId="0" applyBorder="1" applyFill="1" applyFont="1"/>
    <xf borderId="18" fillId="0" fontId="16" numFmtId="0" xfId="0" applyAlignment="1" applyBorder="1" applyFont="1">
      <alignment horizontal="center" vertical="center"/>
    </xf>
    <xf borderId="5" fillId="0" fontId="17" numFmtId="167" xfId="0" applyAlignment="1" applyBorder="1" applyFont="1" applyNumberFormat="1">
      <alignment horizontal="center" vertical="center"/>
    </xf>
    <xf borderId="5" fillId="0" fontId="18" numFmtId="0" xfId="0" applyAlignment="1" applyBorder="1" applyFont="1">
      <alignment vertical="bottom"/>
    </xf>
    <xf borderId="5" fillId="0" fontId="19" numFmtId="0" xfId="0" applyAlignment="1" applyBorder="1" applyFont="1">
      <alignment horizontal="center" vertical="center"/>
    </xf>
    <xf borderId="19" fillId="0" fontId="1" numFmtId="0" xfId="0" applyAlignment="1" applyBorder="1" applyFont="1">
      <alignment vertical="top"/>
    </xf>
    <xf borderId="0" fillId="4" fontId="20" numFmtId="0" xfId="0" applyAlignment="1" applyFont="1">
      <alignment horizontal="center" vertical="center"/>
    </xf>
    <xf borderId="20" fillId="0" fontId="1" numFmtId="0" xfId="0" applyBorder="1" applyFont="1"/>
    <xf borderId="0" fillId="4" fontId="21" numFmtId="168" xfId="0" applyAlignment="1" applyFont="1" applyNumberFormat="1">
      <alignment horizontal="center" vertical="center"/>
    </xf>
    <xf borderId="21" fillId="0" fontId="1" numFmtId="0" xfId="0" applyBorder="1" applyFont="1"/>
    <xf borderId="7" fillId="0" fontId="1" numFmtId="0" xfId="0" applyAlignment="1" applyBorder="1" applyFont="1">
      <alignment vertical="top"/>
    </xf>
    <xf borderId="0" fillId="0" fontId="15" numFmtId="0" xfId="0" applyAlignment="1" applyFont="1">
      <alignment horizontal="center"/>
    </xf>
    <xf borderId="19" fillId="0" fontId="1" numFmtId="0" xfId="0" applyBorder="1" applyFont="1"/>
    <xf borderId="0" fillId="4" fontId="22" numFmtId="0" xfId="0" applyAlignment="1" applyFont="1">
      <alignment horizontal="right" vertical="center"/>
    </xf>
    <xf borderId="0" fillId="4" fontId="23" numFmtId="0" xfId="0" applyAlignment="1" applyFont="1">
      <alignment horizontal="left" readingOrder="0" vertical="center"/>
    </xf>
    <xf borderId="7" fillId="0" fontId="1" numFmtId="0" xfId="0" applyBorder="1" applyFont="1"/>
    <xf borderId="19" fillId="0" fontId="6" numFmtId="0" xfId="0" applyBorder="1" applyFont="1"/>
    <xf borderId="0" fillId="0" fontId="24" numFmtId="0" xfId="0" applyAlignment="1" applyFont="1">
      <alignment horizontal="center" vertical="top"/>
    </xf>
    <xf borderId="7" fillId="0" fontId="6" numFmtId="0" xfId="0" applyBorder="1" applyFont="1"/>
    <xf borderId="5" fillId="0" fontId="13" numFmtId="49" xfId="0" applyAlignment="1" applyBorder="1" applyFont="1" applyNumberFormat="1">
      <alignment horizontal="center" vertical="bottom"/>
    </xf>
    <xf borderId="20" fillId="0" fontId="6" numFmtId="0" xfId="0" applyBorder="1" applyFont="1"/>
    <xf borderId="5" fillId="0" fontId="13" numFmtId="169" xfId="0" applyAlignment="1" applyBorder="1" applyFont="1" applyNumberFormat="1">
      <alignment horizontal="center" vertical="bottom"/>
    </xf>
    <xf borderId="21" fillId="0" fontId="6" numFmtId="0" xfId="0" applyBorder="1" applyFont="1"/>
    <xf borderId="5" fillId="0" fontId="25" numFmtId="170" xfId="0" applyAlignment="1" applyBorder="1" applyFont="1" applyNumberFormat="1">
      <alignment horizontal="center" vertical="bottom"/>
    </xf>
    <xf borderId="22" fillId="3" fontId="26" numFmtId="0" xfId="0" applyAlignment="1" applyBorder="1" applyFont="1">
      <alignment horizontal="center" vertical="bottom"/>
    </xf>
    <xf borderId="22" fillId="0" fontId="6" numFmtId="0" xfId="0" applyBorder="1" applyFont="1"/>
    <xf borderId="0" fillId="0" fontId="13" numFmtId="171" xfId="0" applyAlignment="1" applyFont="1" applyNumberFormat="1">
      <alignment horizontal="center" vertical="top"/>
    </xf>
    <xf borderId="6" fillId="0" fontId="18" numFmtId="0" xfId="0" applyAlignment="1" applyBorder="1" applyFont="1">
      <alignment vertical="bottom"/>
    </xf>
    <xf borderId="23" fillId="3" fontId="26" numFmtId="0" xfId="0" applyAlignment="1" applyBorder="1" applyFont="1">
      <alignment horizontal="center" vertical="bottom"/>
    </xf>
    <xf borderId="23" fillId="0" fontId="6" numFmtId="0" xfId="0" applyBorder="1" applyFont="1"/>
    <xf borderId="5" fillId="0" fontId="25" numFmtId="172" xfId="0" applyAlignment="1" applyBorder="1" applyFont="1" applyNumberFormat="1">
      <alignment horizontal="center" vertical="center"/>
    </xf>
    <xf borderId="0" fillId="0" fontId="18" numFmtId="0" xfId="0" applyAlignment="1" applyFont="1">
      <alignment vertical="bottom"/>
    </xf>
    <xf borderId="5" fillId="0" fontId="19" numFmtId="0" xfId="0" applyAlignment="1" applyBorder="1" applyFont="1">
      <alignment horizontal="center" shrinkToFit="0" vertical="center" wrapText="1"/>
    </xf>
    <xf borderId="6" fillId="0" fontId="19" numFmtId="171" xfId="0" applyAlignment="1" applyBorder="1" applyFont="1" applyNumberFormat="1">
      <alignment horizontal="center" vertical="bottom"/>
    </xf>
    <xf borderId="24" fillId="3" fontId="27" numFmtId="0" xfId="0" applyAlignment="1" applyBorder="1" applyFont="1">
      <alignment horizontal="center" vertical="center"/>
    </xf>
    <xf borderId="24" fillId="0" fontId="6" numFmtId="0" xfId="0" applyBorder="1" applyFont="1"/>
    <xf borderId="19" fillId="0" fontId="28" numFmtId="0" xfId="0" applyAlignment="1" applyBorder="1" applyFont="1">
      <alignment vertical="center"/>
    </xf>
    <xf borderId="0" fillId="4" fontId="21" numFmtId="0" xfId="0" applyAlignment="1" applyFont="1">
      <alignment horizontal="center" vertical="center"/>
    </xf>
    <xf borderId="25" fillId="3" fontId="9" numFmtId="0" xfId="0" applyAlignment="1" applyBorder="1" applyFont="1">
      <alignment horizontal="center"/>
    </xf>
    <xf borderId="25" fillId="0" fontId="6" numFmtId="0" xfId="0" applyBorder="1" applyFont="1"/>
    <xf borderId="26" fillId="4" fontId="29" numFmtId="173" xfId="0" applyAlignment="1" applyBorder="1" applyFont="1" applyNumberFormat="1">
      <alignment horizontal="center" vertical="center"/>
    </xf>
    <xf borderId="26" fillId="4" fontId="29" numFmtId="174" xfId="0" applyAlignment="1" applyBorder="1" applyFont="1" applyNumberFormat="1">
      <alignment horizontal="center" vertical="center"/>
    </xf>
    <xf borderId="19" fillId="0" fontId="30" numFmtId="0" xfId="0" applyAlignment="1" applyBorder="1" applyFont="1">
      <alignment textRotation="90" vertical="center"/>
    </xf>
    <xf borderId="6" fillId="0" fontId="1" numFmtId="0" xfId="0" applyBorder="1" applyFont="1"/>
    <xf borderId="5" fillId="0" fontId="31" numFmtId="0" xfId="0" applyAlignment="1" applyBorder="1" applyFont="1">
      <alignment horizontal="center" vertical="bottom"/>
    </xf>
    <xf borderId="22" fillId="0" fontId="8" numFmtId="175" xfId="0" applyAlignment="1" applyBorder="1" applyFont="1" applyNumberFormat="1">
      <alignment horizontal="center"/>
    </xf>
    <xf borderId="0" fillId="3" fontId="32" numFmtId="0" xfId="0" applyAlignment="1" applyFont="1">
      <alignment horizontal="center" vertical="center"/>
    </xf>
    <xf borderId="5" fillId="0" fontId="33" numFmtId="176" xfId="0" applyAlignment="1" applyBorder="1" applyFont="1" applyNumberFormat="1">
      <alignment horizontal="center" vertical="bottom"/>
    </xf>
    <xf borderId="27" fillId="0" fontId="14" numFmtId="171" xfId="0" applyAlignment="1" applyBorder="1" applyFont="1" applyNumberFormat="1">
      <alignment horizontal="center" vertical="bottom"/>
    </xf>
    <xf borderId="5" fillId="0" fontId="34" numFmtId="0" xfId="0" applyAlignment="1" applyBorder="1" applyFont="1">
      <alignment vertical="bottom"/>
    </xf>
    <xf borderId="0" fillId="0" fontId="32" numFmtId="0" xfId="0" applyFont="1"/>
    <xf borderId="0" fillId="0" fontId="13" numFmtId="49" xfId="0" applyAlignment="1" applyFont="1" applyNumberFormat="1">
      <alignment horizontal="center" readingOrder="0" vertical="center"/>
    </xf>
    <xf borderId="19" fillId="3" fontId="35" numFmtId="0" xfId="0" applyAlignment="1" applyBorder="1" applyFont="1">
      <alignment vertical="center"/>
    </xf>
    <xf borderId="0" fillId="0" fontId="33" numFmtId="176" xfId="0" applyAlignment="1" applyFont="1" applyNumberFormat="1">
      <alignment horizontal="center" vertical="bottom"/>
    </xf>
    <xf borderId="0" fillId="0" fontId="34" numFmtId="0" xfId="0" applyAlignment="1" applyFont="1">
      <alignment vertical="bottom"/>
    </xf>
    <xf borderId="0" fillId="0" fontId="19" numFmtId="0" xfId="0" applyAlignment="1" applyFont="1">
      <alignment horizontal="center"/>
    </xf>
    <xf borderId="26" fillId="4" fontId="29" numFmtId="173" xfId="0" applyAlignment="1" applyBorder="1" applyFont="1" applyNumberFormat="1">
      <alignment horizontal="center" readingOrder="0" vertical="center"/>
    </xf>
    <xf borderId="0" fillId="0" fontId="36" numFmtId="0" xfId="0" applyAlignment="1" applyFont="1">
      <alignment horizontal="center" vertical="center"/>
    </xf>
    <xf borderId="6" fillId="0" fontId="37" numFmtId="0" xfId="0" applyAlignment="1" applyBorder="1" applyFont="1">
      <alignment horizontal="center"/>
    </xf>
    <xf borderId="6" fillId="0" fontId="19" numFmtId="0" xfId="0" applyAlignment="1" applyBorder="1" applyFont="1">
      <alignment horizontal="center" vertical="bottom"/>
    </xf>
    <xf borderId="24" fillId="0" fontId="3" numFmtId="0" xfId="0" applyAlignment="1" applyBorder="1" applyFont="1">
      <alignment horizontal="center" vertical="center"/>
    </xf>
    <xf borderId="0" fillId="0" fontId="32" numFmtId="0" xfId="0" applyAlignment="1" applyFont="1">
      <alignment horizontal="right" vertical="center"/>
    </xf>
    <xf borderId="0" fillId="3" fontId="35" numFmtId="0" xfId="0" applyAlignment="1" applyFont="1">
      <alignment horizontal="center" shrinkToFit="0" vertical="center" wrapText="0"/>
    </xf>
    <xf borderId="5" fillId="0" fontId="38" numFmtId="176" xfId="0" applyAlignment="1" applyBorder="1" applyFont="1" applyNumberFormat="1">
      <alignment horizontal="center" shrinkToFit="0" vertical="bottom" wrapText="1"/>
    </xf>
    <xf borderId="22" fillId="0" fontId="39" numFmtId="171" xfId="0" applyAlignment="1" applyBorder="1" applyFont="1" applyNumberFormat="1">
      <alignment horizontal="center" vertical="bottom"/>
    </xf>
    <xf borderId="5" fillId="0" fontId="40" numFmtId="0" xfId="0" applyAlignment="1" applyBorder="1" applyFont="1">
      <alignment vertical="center"/>
    </xf>
    <xf borderId="5" fillId="0" fontId="31" numFmtId="0" xfId="0" applyAlignment="1" applyBorder="1" applyFont="1">
      <alignment vertical="center"/>
    </xf>
    <xf borderId="5" fillId="0" fontId="31" numFmtId="0" xfId="0" applyAlignment="1" applyBorder="1" applyFont="1">
      <alignment horizontal="right" vertical="center"/>
    </xf>
    <xf borderId="0" fillId="0" fontId="31" numFmtId="0" xfId="0" applyAlignment="1" applyFont="1">
      <alignment horizontal="right" vertical="center"/>
    </xf>
    <xf borderId="0" fillId="0" fontId="32" numFmtId="0" xfId="0" applyAlignment="1" applyFont="1">
      <alignment horizontal="center" vertical="center"/>
    </xf>
    <xf borderId="5" fillId="0" fontId="41" numFmtId="49" xfId="0" applyAlignment="1" applyBorder="1" applyFont="1" applyNumberFormat="1">
      <alignment horizontal="center" shrinkToFit="0" vertical="center" wrapText="1"/>
    </xf>
    <xf borderId="5" fillId="0" fontId="42" numFmtId="0" xfId="0" applyAlignment="1" applyBorder="1" applyFont="1">
      <alignment horizontal="center" vertical="center"/>
    </xf>
    <xf borderId="5" fillId="0" fontId="38" numFmtId="176" xfId="0" applyAlignment="1" applyBorder="1" applyFont="1" applyNumberFormat="1">
      <alignment horizontal="right" shrinkToFit="0" vertical="center" wrapText="1"/>
    </xf>
    <xf borderId="5" fillId="0" fontId="38" numFmtId="176" xfId="0" applyAlignment="1" applyBorder="1" applyFont="1" applyNumberFormat="1">
      <alignment horizontal="center" shrinkToFit="0" vertical="center" wrapText="1"/>
    </xf>
    <xf borderId="5" fillId="0" fontId="38" numFmtId="176" xfId="0" applyAlignment="1" applyBorder="1" applyFont="1" applyNumberFormat="1">
      <alignment horizontal="left" shrinkToFit="0" vertical="center" wrapText="1"/>
    </xf>
    <xf borderId="0" fillId="0" fontId="15" numFmtId="0" xfId="0" applyAlignment="1" applyFont="1">
      <alignment horizontal="center" vertical="top"/>
    </xf>
    <xf borderId="0" fillId="0" fontId="38" numFmtId="176" xfId="0" applyAlignment="1" applyFont="1" applyNumberFormat="1">
      <alignment horizontal="center" shrinkToFit="0" vertical="bottom" wrapText="1"/>
    </xf>
    <xf borderId="23" fillId="0" fontId="39" numFmtId="171" xfId="0" applyAlignment="1" applyBorder="1" applyFont="1" applyNumberFormat="1">
      <alignment horizontal="center" vertical="bottom"/>
    </xf>
    <xf borderId="0" fillId="0" fontId="40" numFmtId="0" xfId="0" applyAlignment="1" applyFont="1">
      <alignment vertical="center"/>
    </xf>
    <xf borderId="0" fillId="0" fontId="43" numFmtId="0" xfId="0" applyAlignment="1" applyFont="1">
      <alignment shrinkToFit="0" vertical="center" wrapText="0"/>
    </xf>
    <xf borderId="0" fillId="0" fontId="43" numFmtId="0" xfId="0" applyAlignment="1" applyFont="1">
      <alignment vertical="center"/>
    </xf>
    <xf borderId="0" fillId="0" fontId="42" numFmtId="0" xfId="0" applyAlignment="1" applyFont="1">
      <alignment horizontal="center" vertical="center"/>
    </xf>
    <xf borderId="0" fillId="0" fontId="38" numFmtId="176" xfId="0" applyAlignment="1" applyFont="1" applyNumberFormat="1">
      <alignment horizontal="right" shrinkToFit="0" vertical="center" wrapText="1"/>
    </xf>
    <xf borderId="0" fillId="0" fontId="38" numFmtId="176" xfId="0" applyAlignment="1" applyFont="1" applyNumberFormat="1">
      <alignment horizontal="center" shrinkToFit="0" vertical="center" wrapText="1"/>
    </xf>
    <xf borderId="0" fillId="0" fontId="38" numFmtId="176" xfId="0" applyAlignment="1" applyFont="1" applyNumberFormat="1">
      <alignment horizontal="left" shrinkToFit="0" vertical="center" wrapText="1"/>
    </xf>
    <xf borderId="0" fillId="2" fontId="2" numFmtId="174" xfId="0" applyFont="1" applyNumberFormat="1"/>
    <xf borderId="6" fillId="0" fontId="9" numFmtId="0" xfId="0" applyAlignment="1" applyBorder="1" applyFont="1">
      <alignment horizontal="center"/>
    </xf>
    <xf borderId="25" fillId="0" fontId="9" numFmtId="0" xfId="0" applyAlignment="1" applyBorder="1" applyFont="1">
      <alignment horizontal="center"/>
    </xf>
    <xf borderId="0" fillId="0" fontId="40" numFmtId="0" xfId="0" applyAlignment="1" applyFont="1">
      <alignment horizontal="left" vertical="center"/>
    </xf>
    <xf borderId="0" fillId="0" fontId="44" numFmtId="0" xfId="0" applyAlignment="1" applyFont="1">
      <alignment vertical="center"/>
    </xf>
    <xf borderId="0" fillId="0" fontId="31" numFmtId="0" xfId="0" applyAlignment="1" applyFont="1">
      <alignment horizontal="center" vertical="center"/>
    </xf>
    <xf borderId="15" fillId="4" fontId="20" numFmtId="0" xfId="0" applyAlignment="1" applyBorder="1" applyFont="1">
      <alignment horizontal="center" vertical="top"/>
    </xf>
    <xf borderId="14" fillId="0" fontId="6" numFmtId="0" xfId="0" applyBorder="1" applyFont="1"/>
    <xf borderId="0" fillId="4" fontId="23" numFmtId="0" xfId="0" applyAlignment="1" applyFont="1">
      <alignment horizontal="left" vertical="center"/>
    </xf>
    <xf borderId="17" fillId="0" fontId="45" numFmtId="0" xfId="0" applyAlignment="1" applyBorder="1" applyFont="1">
      <alignment horizontal="left"/>
    </xf>
    <xf borderId="28" fillId="0" fontId="6" numFmtId="0" xfId="0" applyBorder="1" applyFont="1"/>
    <xf borderId="18" fillId="0" fontId="6" numFmtId="0" xfId="0" applyBorder="1" applyFont="1"/>
    <xf borderId="19" fillId="0" fontId="45" numFmtId="0" xfId="0" applyAlignment="1" applyBorder="1" applyFont="1">
      <alignment horizontal="left"/>
    </xf>
    <xf borderId="0" fillId="0" fontId="32" numFmtId="0" xfId="0" applyAlignment="1" applyFont="1">
      <alignment horizontal="center" readingOrder="0" vertical="center"/>
    </xf>
    <xf borderId="0" fillId="0" fontId="5" numFmtId="0" xfId="0" applyAlignment="1" applyFont="1">
      <alignment vertical="top"/>
    </xf>
    <xf borderId="0" fillId="0" fontId="46" numFmtId="0" xfId="0" applyAlignment="1" applyFont="1">
      <alignment horizontal="center" vertical="center"/>
    </xf>
    <xf borderId="0" fillId="0" fontId="46" numFmtId="0" xfId="0" applyAlignment="1" applyFont="1">
      <alignment horizontal="left" vertical="center"/>
    </xf>
    <xf borderId="0" fillId="0" fontId="1" numFmtId="0" xfId="0" applyAlignment="1" applyFont="1">
      <alignment vertical="top"/>
    </xf>
    <xf borderId="5" fillId="0" fontId="47" numFmtId="0" xfId="0" applyAlignment="1" applyBorder="1" applyFont="1">
      <alignment horizontal="left" vertical="bottom"/>
    </xf>
    <xf borderId="5" fillId="0" fontId="1" numFmtId="0" xfId="0" applyBorder="1" applyFont="1"/>
    <xf borderId="5" fillId="0" fontId="47" numFmtId="0" xfId="0" applyAlignment="1" applyBorder="1" applyFont="1">
      <alignment horizontal="center" vertical="bottom"/>
    </xf>
    <xf borderId="29" fillId="5" fontId="48" numFmtId="0" xfId="0" applyAlignment="1" applyBorder="1" applyFill="1" applyFont="1">
      <alignment horizontal="left" vertical="center"/>
    </xf>
    <xf borderId="29" fillId="0" fontId="6" numFmtId="0" xfId="0" applyBorder="1" applyFont="1"/>
    <xf borderId="29" fillId="0" fontId="48" numFmtId="0" xfId="0" applyAlignment="1" applyBorder="1" applyFont="1">
      <alignment vertical="center"/>
    </xf>
    <xf borderId="29" fillId="5" fontId="48" numFmtId="171" xfId="0" applyAlignment="1" applyBorder="1" applyFont="1" applyNumberFormat="1">
      <alignment horizontal="center" vertical="bottom"/>
    </xf>
    <xf borderId="30" fillId="5" fontId="49" numFmtId="0" xfId="0" applyBorder="1" applyFont="1"/>
    <xf borderId="30" fillId="0" fontId="6" numFmtId="0" xfId="0" applyBorder="1" applyFont="1"/>
    <xf borderId="0" fillId="2" fontId="2" numFmtId="171" xfId="0" applyAlignment="1" applyFont="1" applyNumberFormat="1">
      <alignment horizontal="left" vertical="center"/>
    </xf>
    <xf borderId="0" fillId="2" fontId="2" numFmtId="171" xfId="0" applyFont="1" applyNumberFormat="1"/>
    <xf borderId="0" fillId="2" fontId="2" numFmtId="0" xfId="0" applyFont="1"/>
    <xf borderId="0" fillId="0" fontId="50" numFmtId="0" xfId="0" applyAlignment="1" applyFont="1">
      <alignment horizontal="right" vertical="center"/>
    </xf>
    <xf borderId="0" fillId="0" fontId="51" numFmtId="0" xfId="0" applyAlignment="1" applyFont="1">
      <alignment horizontal="center" vertical="center"/>
    </xf>
    <xf borderId="9" fillId="0" fontId="48" numFmtId="0" xfId="0" applyAlignment="1" applyBorder="1" applyFont="1">
      <alignment vertical="center"/>
    </xf>
    <xf borderId="0" fillId="0" fontId="32" numFmtId="0" xfId="0" applyAlignment="1" applyFont="1">
      <alignment horizontal="right"/>
    </xf>
    <xf borderId="0" fillId="0" fontId="31" numFmtId="0" xfId="0" applyAlignment="1" applyFont="1">
      <alignment horizontal="left" vertical="center"/>
    </xf>
    <xf borderId="27" fillId="0" fontId="48" numFmtId="0" xfId="0" applyAlignment="1" applyBorder="1" applyFont="1">
      <alignment shrinkToFit="0" vertical="bottom" wrapText="1"/>
    </xf>
    <xf borderId="27" fillId="0" fontId="6" numFmtId="0" xfId="0" applyBorder="1" applyFont="1"/>
    <xf borderId="27" fillId="0" fontId="48" numFmtId="0" xfId="0" applyAlignment="1" applyBorder="1" applyFont="1">
      <alignment vertical="bottom"/>
    </xf>
    <xf borderId="31" fillId="4" fontId="29" numFmtId="173" xfId="0" applyAlignment="1" applyBorder="1" applyFont="1" applyNumberFormat="1">
      <alignment horizontal="center" vertical="center"/>
    </xf>
    <xf borderId="31" fillId="4" fontId="29" numFmtId="174" xfId="0" applyAlignment="1" applyBorder="1" applyFont="1" applyNumberFormat="1">
      <alignment horizontal="center" vertical="center"/>
    </xf>
    <xf borderId="0" fillId="0" fontId="43" numFmtId="0" xfId="0" applyAlignment="1" applyFont="1">
      <alignment horizontal="center" vertical="center"/>
    </xf>
    <xf borderId="32" fillId="0" fontId="5" numFmtId="0" xfId="0" applyAlignment="1" applyBorder="1" applyFont="1">
      <alignment vertical="center"/>
    </xf>
    <xf borderId="33" fillId="0" fontId="6" numFmtId="0" xfId="0" applyBorder="1" applyFont="1"/>
    <xf borderId="0" fillId="0" fontId="43" numFmtId="0" xfId="0" applyAlignment="1" applyFont="1">
      <alignment horizontal="left" vertical="center"/>
    </xf>
    <xf borderId="0" fillId="0" fontId="30" numFmtId="0" xfId="0" applyAlignment="1" applyFont="1">
      <alignment horizontal="center" shrinkToFit="0" textRotation="90" vertical="center" wrapText="0"/>
    </xf>
    <xf borderId="6" fillId="0" fontId="37" numFmtId="0" xfId="0" applyAlignment="1" applyBorder="1" applyFont="1">
      <alignment horizontal="center" vertical="bottom"/>
    </xf>
    <xf borderId="0" fillId="0" fontId="52" numFmtId="0" xfId="0" applyAlignment="1" applyFont="1">
      <alignment horizontal="center" vertical="center"/>
    </xf>
    <xf borderId="6" fillId="0" fontId="37" numFmtId="49" xfId="0" applyAlignment="1" applyBorder="1" applyFont="1" applyNumberFormat="1">
      <alignment horizontal="center" vertical="bottom"/>
    </xf>
    <xf borderId="0" fillId="0" fontId="53" numFmtId="0" xfId="0" applyAlignment="1" applyFont="1">
      <alignment horizontal="center" vertical="center"/>
    </xf>
    <xf borderId="5" fillId="0" fontId="54" numFmtId="49" xfId="0" applyAlignment="1" applyBorder="1" applyFont="1" applyNumberFormat="1">
      <alignment horizontal="center" vertical="center"/>
    </xf>
    <xf borderId="5" fillId="0" fontId="9" numFmtId="0" xfId="0" applyAlignment="1" applyBorder="1" applyFont="1">
      <alignment horizontal="center" vertical="center"/>
    </xf>
    <xf borderId="22" fillId="3" fontId="48" numFmtId="0" xfId="0" applyAlignment="1" applyBorder="1" applyFont="1">
      <alignment horizontal="center"/>
    </xf>
    <xf borderId="5" fillId="3" fontId="48" numFmtId="0" xfId="0" applyAlignment="1" applyBorder="1" applyFont="1">
      <alignment horizontal="center"/>
    </xf>
    <xf borderId="23" fillId="3" fontId="48" numFmtId="0" xfId="0" applyAlignment="1" applyBorder="1" applyFont="1">
      <alignment horizontal="center"/>
    </xf>
    <xf borderId="34" fillId="3" fontId="48" numFmtId="0" xfId="0" applyAlignment="1" applyBorder="1" applyFont="1">
      <alignment horizontal="center"/>
    </xf>
    <xf borderId="34" fillId="0" fontId="6" numFmtId="0" xfId="0" applyBorder="1" applyFont="1"/>
    <xf borderId="23" fillId="3" fontId="48" numFmtId="0" xfId="0" applyAlignment="1" applyBorder="1" applyFont="1">
      <alignment horizontal="center" readingOrder="0"/>
    </xf>
    <xf borderId="0" fillId="0" fontId="5" numFmtId="0" xfId="0" applyAlignment="1" applyFont="1">
      <alignment vertical="bottom"/>
    </xf>
    <xf borderId="22" fillId="0" fontId="55" numFmtId="0" xfId="0" applyAlignment="1" applyBorder="1" applyFont="1">
      <alignment horizontal="right" vertical="center"/>
    </xf>
    <xf borderId="22" fillId="0" fontId="55" numFmtId="0" xfId="0" applyAlignment="1" applyBorder="1" applyFont="1">
      <alignment horizontal="left" vertical="center"/>
    </xf>
    <xf borderId="27" fillId="0" fontId="55" numFmtId="0" xfId="0" applyAlignment="1" applyBorder="1" applyFont="1">
      <alignment horizontal="right" vertical="center"/>
    </xf>
    <xf borderId="27" fillId="0" fontId="55" numFmtId="0" xfId="0" applyAlignment="1" applyBorder="1" applyFont="1">
      <alignment horizontal="left" vertical="center"/>
    </xf>
    <xf borderId="35" fillId="3" fontId="48" numFmtId="0" xfId="0" applyAlignment="1" applyBorder="1" applyFont="1">
      <alignment horizontal="center"/>
    </xf>
    <xf borderId="35" fillId="0" fontId="6" numFmtId="0" xfId="0" applyBorder="1" applyFont="1"/>
    <xf borderId="27" fillId="3" fontId="55" numFmtId="0" xfId="0" applyAlignment="1" applyBorder="1" applyFont="1">
      <alignment horizontal="left" vertical="center"/>
    </xf>
    <xf borderId="0" fillId="3" fontId="48" numFmtId="0" xfId="0" applyAlignment="1" applyFont="1">
      <alignment horizontal="center"/>
    </xf>
    <xf borderId="27" fillId="3" fontId="55" numFmtId="0" xfId="0" applyAlignment="1" applyBorder="1" applyFont="1">
      <alignment horizontal="right" vertical="center"/>
    </xf>
    <xf borderId="25" fillId="0" fontId="37" numFmtId="0" xfId="0" applyAlignment="1" applyBorder="1" applyFont="1">
      <alignment horizontal="center" vertical="bottom"/>
    </xf>
    <xf borderId="0" fillId="0" fontId="5" numFmtId="0" xfId="0" applyAlignment="1" applyFont="1">
      <alignment horizontal="center" vertical="center"/>
    </xf>
    <xf borderId="0" fillId="0" fontId="45" numFmtId="0" xfId="0" applyAlignment="1" applyFont="1">
      <alignment vertical="center"/>
    </xf>
    <xf borderId="0" fillId="0" fontId="3" numFmtId="49" xfId="0" applyAlignment="1" applyFont="1" applyNumberFormat="1">
      <alignment horizontal="center" vertical="center"/>
    </xf>
    <xf borderId="0" fillId="0" fontId="3" numFmtId="177" xfId="0" applyAlignment="1" applyFont="1" applyNumberFormat="1">
      <alignment horizontal="center" vertical="center"/>
    </xf>
    <xf borderId="0" fillId="3" fontId="1" numFmtId="0" xfId="0" applyFont="1"/>
    <xf borderId="0" fillId="3" fontId="48" numFmtId="0" xfId="0" applyAlignment="1" applyFont="1">
      <alignment horizontal="left"/>
    </xf>
    <xf borderId="22" fillId="3" fontId="56" numFmtId="0" xfId="0" applyAlignment="1" applyBorder="1" applyFont="1">
      <alignment horizontal="left" vertical="bottom"/>
    </xf>
    <xf borderId="5" fillId="3" fontId="56" numFmtId="49" xfId="0" applyAlignment="1" applyBorder="1" applyFont="1" applyNumberFormat="1">
      <alignment horizontal="left" vertical="bottom"/>
    </xf>
    <xf borderId="22" fillId="3" fontId="56" numFmtId="49" xfId="0" applyAlignment="1" applyBorder="1" applyFont="1" applyNumberFormat="1">
      <alignment horizontal="left" vertical="bottom"/>
    </xf>
    <xf borderId="5" fillId="3" fontId="57" numFmtId="0" xfId="0" applyAlignment="1" applyBorder="1" applyFont="1">
      <alignment horizontal="center" vertical="center"/>
    </xf>
    <xf borderId="23" fillId="3" fontId="56" numFmtId="0" xfId="0" applyAlignment="1" applyBorder="1" applyFont="1">
      <alignment horizontal="left" vertical="bottom"/>
    </xf>
    <xf borderId="23" fillId="3" fontId="56" numFmtId="49" xfId="0" applyAlignment="1" applyBorder="1" applyFont="1" applyNumberFormat="1">
      <alignment vertical="center"/>
    </xf>
    <xf borderId="0" fillId="2" fontId="58" numFmtId="0" xfId="0" applyAlignment="1" applyFont="1">
      <alignment horizontal="center" textRotation="90" vertical="bottom"/>
    </xf>
    <xf borderId="0" fillId="2" fontId="58" numFmtId="0" xfId="0" applyAlignment="1" applyFont="1">
      <alignment horizontal="right" textRotation="90" vertical="bottom"/>
    </xf>
    <xf borderId="0" fillId="2" fontId="59" numFmtId="0" xfId="0" applyAlignment="1" applyFont="1">
      <alignment horizontal="right" textRotation="90" vertical="bottom"/>
    </xf>
    <xf borderId="0" fillId="2" fontId="58" numFmtId="0" xfId="0" applyAlignment="1" applyFont="1">
      <alignment readingOrder="0" textRotation="90" vertical="bottom"/>
    </xf>
    <xf borderId="0" fillId="2" fontId="2" numFmtId="178" xfId="0" applyAlignment="1" applyFont="1" applyNumberFormat="1">
      <alignment horizontal="left" vertical="center"/>
    </xf>
    <xf borderId="36" fillId="2" fontId="2" numFmtId="0" xfId="0" applyAlignment="1" applyBorder="1" applyFont="1">
      <alignment horizontal="left" vertical="center"/>
    </xf>
    <xf borderId="0" fillId="2" fontId="2" numFmtId="0" xfId="0" applyAlignment="1" applyFont="1">
      <alignment horizontal="left" readingOrder="0" vertical="center"/>
    </xf>
    <xf borderId="0" fillId="2" fontId="2" numFmtId="165" xfId="0" applyAlignment="1" applyFont="1" applyNumberFormat="1">
      <alignment vertical="center"/>
    </xf>
    <xf borderId="23" fillId="3" fontId="56" numFmtId="0" xfId="0" applyAlignment="1" applyBorder="1" applyFont="1">
      <alignment horizontal="left"/>
    </xf>
    <xf borderId="23" fillId="3" fontId="56" numFmtId="0" xfId="0" applyAlignment="1" applyBorder="1" applyFont="1">
      <alignment vertical="center"/>
    </xf>
    <xf borderId="0" fillId="2" fontId="2" numFmtId="165" xfId="0" applyAlignment="1" applyFont="1" applyNumberFormat="1">
      <alignment horizontal="left" vertical="center"/>
    </xf>
    <xf borderId="6" fillId="3" fontId="60" numFmtId="0" xfId="0" applyAlignment="1" applyBorder="1" applyFont="1">
      <alignment horizontal="center" vertical="bottom"/>
    </xf>
    <xf borderId="6" fillId="3" fontId="37" numFmtId="0" xfId="0" applyAlignment="1" applyBorder="1" applyFont="1">
      <alignment horizontal="center" vertical="bottom"/>
    </xf>
    <xf borderId="0" fillId="2" fontId="2" numFmtId="165" xfId="0" applyAlignment="1" applyFont="1" applyNumberFormat="1">
      <alignment horizontal="left" shrinkToFit="0" vertical="center" wrapText="0"/>
    </xf>
    <xf borderId="0" fillId="0" fontId="3" numFmtId="179" xfId="0" applyAlignment="1" applyFont="1" applyNumberFormat="1">
      <alignment horizontal="center" vertical="center"/>
    </xf>
    <xf borderId="37" fillId="0" fontId="5" numFmtId="0" xfId="0" applyAlignment="1" applyBorder="1" applyFont="1">
      <alignment vertical="center"/>
    </xf>
    <xf borderId="38" fillId="0" fontId="6" numFmtId="0" xfId="0" applyBorder="1" applyFont="1"/>
    <xf borderId="39" fillId="0" fontId="6" numFmtId="0" xfId="0" applyBorder="1" applyFont="1"/>
    <xf borderId="2" fillId="6" fontId="1" numFmtId="0" xfId="0" applyBorder="1" applyFill="1" applyFont="1"/>
    <xf borderId="0" fillId="0" fontId="1" numFmtId="0" xfId="0" applyFont="1"/>
    <xf borderId="0" fillId="6" fontId="9" numFmtId="0" xfId="0" applyAlignment="1" applyFont="1">
      <alignment horizontal="center" vertical="bottom"/>
    </xf>
    <xf borderId="40" fillId="0" fontId="1" numFmtId="0" xfId="0" applyBorder="1" applyFont="1"/>
    <xf borderId="0" fillId="6" fontId="1" numFmtId="0" xfId="0" applyFont="1"/>
    <xf borderId="3" fillId="6" fontId="1" numFmtId="0" xfId="0" applyBorder="1" applyFont="1"/>
    <xf borderId="2" fillId="3" fontId="11" numFmtId="0" xfId="0" applyAlignment="1" applyBorder="1" applyFont="1">
      <alignment horizontal="center" vertical="center"/>
    </xf>
    <xf borderId="5" fillId="0" fontId="54" numFmtId="0" xfId="0" applyAlignment="1" applyBorder="1" applyFont="1">
      <alignment horizontal="center" vertical="center"/>
    </xf>
    <xf borderId="5" fillId="0" fontId="13" numFmtId="49" xfId="0" applyAlignment="1" applyBorder="1" applyFont="1" applyNumberFormat="1">
      <alignment horizontal="center" vertical="top"/>
    </xf>
    <xf borderId="5" fillId="0" fontId="13" numFmtId="180" xfId="0" applyAlignment="1" applyBorder="1" applyFont="1" applyNumberFormat="1">
      <alignment horizontal="center" vertical="top"/>
    </xf>
    <xf borderId="0" fillId="6" fontId="9" numFmtId="0" xfId="0" applyAlignment="1" applyFont="1">
      <alignment horizontal="center" vertical="top"/>
    </xf>
    <xf borderId="0" fillId="0" fontId="5" numFmtId="49" xfId="0" applyAlignment="1" applyFont="1" applyNumberFormat="1">
      <alignment vertical="center"/>
    </xf>
    <xf borderId="0" fillId="0" fontId="1" numFmtId="49" xfId="0" applyFont="1" applyNumberFormat="1"/>
    <xf borderId="41" fillId="0" fontId="1" numFmtId="49" xfId="0" applyBorder="1" applyFont="1" applyNumberFormat="1"/>
    <xf borderId="41" fillId="0" fontId="6" numFmtId="0" xfId="0" applyBorder="1" applyFont="1"/>
    <xf borderId="0" fillId="0" fontId="37" numFmtId="49" xfId="0" applyAlignment="1" applyFont="1" applyNumberFormat="1">
      <alignment horizontal="center" vertical="center"/>
    </xf>
    <xf borderId="0" fillId="3" fontId="61" numFmtId="176" xfId="0" applyAlignment="1" applyFont="1" applyNumberFormat="1">
      <alignment horizontal="center" vertical="bottom"/>
    </xf>
    <xf borderId="27" fillId="0" fontId="48" numFmtId="0" xfId="0" applyBorder="1" applyFont="1"/>
    <xf borderId="0" fillId="0" fontId="1" numFmtId="0" xfId="0" applyAlignment="1" applyFont="1">
      <alignment horizontal="center" vertical="top"/>
    </xf>
    <xf borderId="5" fillId="0" fontId="37" numFmtId="49" xfId="0" applyAlignment="1" applyBorder="1" applyFont="1" applyNumberFormat="1">
      <alignment horizontal="center" vertical="center"/>
    </xf>
    <xf borderId="27" fillId="0" fontId="1" numFmtId="49" xfId="0" applyBorder="1" applyFont="1" applyNumberFormat="1"/>
    <xf borderId="27" fillId="0" fontId="3" numFmtId="49" xfId="0" applyAlignment="1" applyBorder="1" applyFont="1" applyNumberFormat="1">
      <alignment horizontal="center" vertical="center"/>
    </xf>
    <xf borderId="0" fillId="0" fontId="62" numFmtId="0" xfId="0" applyAlignment="1" applyFont="1">
      <alignment horizontal="center" vertical="top"/>
    </xf>
    <xf borderId="0" fillId="0" fontId="47" numFmtId="49" xfId="0" applyAlignment="1" applyFont="1" applyNumberFormat="1">
      <alignment horizontal="center"/>
    </xf>
    <xf borderId="5" fillId="3" fontId="63" numFmtId="49" xfId="0" applyAlignment="1" applyBorder="1" applyFont="1" applyNumberFormat="1">
      <alignment horizontal="center" vertical="center"/>
    </xf>
    <xf borderId="27" fillId="3" fontId="64" numFmtId="49" xfId="0" applyBorder="1" applyFont="1" applyNumberFormat="1"/>
    <xf borderId="0" fillId="0" fontId="65" numFmtId="49" xfId="0" applyAlignment="1" applyFont="1" applyNumberFormat="1">
      <alignment horizontal="center" shrinkToFit="0" vertical="top" wrapText="1"/>
    </xf>
    <xf borderId="0" fillId="0" fontId="48" numFmtId="49" xfId="0" applyFont="1" applyNumberFormat="1"/>
    <xf borderId="5" fillId="0" fontId="63" numFmtId="49" xfId="0" applyAlignment="1" applyBorder="1" applyFont="1" applyNumberFormat="1">
      <alignment horizontal="center" vertical="center"/>
    </xf>
    <xf borderId="27" fillId="0" fontId="8" numFmtId="49" xfId="0" applyBorder="1" applyFont="1" applyNumberFormat="1"/>
    <xf borderId="0" fillId="0" fontId="66" numFmtId="49" xfId="0" applyAlignment="1" applyFont="1" applyNumberFormat="1">
      <alignment horizontal="center"/>
    </xf>
    <xf borderId="0" fillId="0" fontId="3" numFmtId="49" xfId="0" applyAlignment="1" applyFont="1" applyNumberFormat="1">
      <alignment horizontal="center"/>
    </xf>
    <xf borderId="0" fillId="0" fontId="62" numFmtId="0" xfId="0" applyAlignment="1" applyFont="1">
      <alignment vertical="top"/>
    </xf>
    <xf borderId="27" fillId="0" fontId="5" numFmtId="49" xfId="0" applyAlignment="1" applyBorder="1" applyFont="1" applyNumberFormat="1">
      <alignment vertical="center"/>
    </xf>
    <xf borderId="27" fillId="0" fontId="3" numFmtId="49" xfId="0" applyAlignment="1" applyBorder="1" applyFont="1" applyNumberFormat="1">
      <alignment horizontal="center" shrinkToFit="0" vertical="center" wrapText="1"/>
    </xf>
    <xf borderId="0" fillId="0" fontId="67" numFmtId="0" xfId="0" applyAlignment="1" applyFont="1">
      <alignment vertical="center"/>
    </xf>
    <xf borderId="2" fillId="0" fontId="5" numFmtId="0" xfId="0" applyAlignment="1" applyBorder="1" applyFont="1">
      <alignment vertical="top"/>
    </xf>
    <xf borderId="22" fillId="0" fontId="48" numFmtId="0" xfId="0" applyAlignment="1" applyBorder="1" applyFont="1">
      <alignment vertical="bottom"/>
    </xf>
    <xf borderId="5" fillId="0" fontId="5" numFmtId="0" xfId="0" applyAlignment="1" applyBorder="1" applyFont="1">
      <alignment vertical="top"/>
    </xf>
    <xf borderId="42" fillId="0" fontId="5" numFmtId="0" xfId="0" applyAlignment="1" applyBorder="1" applyFont="1">
      <alignment vertical="center"/>
    </xf>
    <xf borderId="43" fillId="0" fontId="6" numFmtId="0" xfId="0" applyBorder="1" applyFont="1"/>
    <xf borderId="4" fillId="0" fontId="48" numFmtId="175" xfId="0" applyAlignment="1" applyBorder="1" applyFont="1" applyNumberFormat="1">
      <alignment horizontal="left" vertical="bottom"/>
    </xf>
    <xf borderId="4" fillId="0" fontId="48" numFmtId="181" xfId="0" applyAlignment="1" applyBorder="1" applyFont="1" applyNumberFormat="1">
      <alignment horizontal="left" vertical="bottom"/>
    </xf>
    <xf borderId="4" fillId="0" fontId="48" numFmtId="182" xfId="0" applyAlignment="1" applyBorder="1" applyFont="1" applyNumberFormat="1">
      <alignment horizontal="left" vertical="bottom"/>
    </xf>
    <xf borderId="4" fillId="0" fontId="48" numFmtId="49" xfId="0" applyAlignment="1" applyBorder="1" applyFont="1" applyNumberFormat="1">
      <alignment horizontal="left" vertical="bottom"/>
    </xf>
    <xf borderId="23" fillId="0" fontId="48" numFmtId="0" xfId="0" applyAlignment="1" applyBorder="1" applyFont="1">
      <alignment vertical="bottom"/>
    </xf>
    <xf borderId="44" fillId="7" fontId="5" numFmtId="0" xfId="0" applyAlignment="1" applyBorder="1" applyFill="1" applyFont="1">
      <alignment vertical="center"/>
    </xf>
    <xf borderId="2" fillId="0" fontId="68" numFmtId="0" xfId="0" applyAlignment="1" applyBorder="1" applyFont="1">
      <alignment vertical="center"/>
    </xf>
    <xf borderId="29" fillId="5" fontId="48" numFmtId="0" xfId="0" applyAlignment="1" applyBorder="1" applyFont="1">
      <alignment horizontal="center" vertical="center"/>
    </xf>
    <xf borderId="45" fillId="7" fontId="5" numFmtId="0" xfId="0" applyAlignment="1" applyBorder="1" applyFont="1">
      <alignment vertical="center"/>
    </xf>
    <xf borderId="46" fillId="0" fontId="31" numFmtId="0" xfId="0" applyAlignment="1" applyBorder="1" applyFont="1">
      <alignment horizontal="center" shrinkToFit="0" vertical="center" wrapText="1"/>
    </xf>
    <xf borderId="47" fillId="0" fontId="6" numFmtId="0" xfId="0" applyBorder="1" applyFont="1"/>
    <xf borderId="2" fillId="0" fontId="45" numFmtId="171" xfId="0" applyAlignment="1" applyBorder="1" applyFont="1" applyNumberFormat="1">
      <alignment horizontal="left" vertical="center"/>
    </xf>
    <xf borderId="42" fillId="0" fontId="31" numFmtId="0" xfId="0" applyAlignment="1" applyBorder="1" applyFont="1">
      <alignment horizontal="center" shrinkToFit="0" vertical="center" wrapText="1"/>
    </xf>
    <xf borderId="0" fillId="2" fontId="69" numFmtId="49" xfId="0" applyAlignment="1" applyFont="1" applyNumberFormat="1">
      <alignment horizontal="left" vertical="center"/>
    </xf>
    <xf borderId="0" fillId="2" fontId="70" numFmtId="49" xfId="0" applyAlignment="1" applyFont="1" applyNumberFormat="1">
      <alignment horizontal="left" shrinkToFit="0" vertical="center" wrapText="0"/>
    </xf>
    <xf borderId="48" fillId="2" fontId="2" numFmtId="49" xfId="0" applyAlignment="1" applyBorder="1" applyFont="1" applyNumberFormat="1">
      <alignment horizontal="left" vertical="center"/>
    </xf>
    <xf borderId="48" fillId="2" fontId="71" numFmtId="49" xfId="0" applyAlignment="1" applyBorder="1" applyFont="1" applyNumberFormat="1">
      <alignment horizontal="left" vertical="center"/>
    </xf>
    <xf borderId="49" fillId="2" fontId="72" numFmtId="49" xfId="0" applyAlignment="1" applyBorder="1" applyFont="1" applyNumberFormat="1">
      <alignment horizontal="left" readingOrder="0" shrinkToFit="0" vertical="center" wrapText="0"/>
    </xf>
    <xf borderId="50" fillId="0" fontId="6" numFmtId="0" xfId="0" applyBorder="1" applyFont="1"/>
    <xf borderId="51" fillId="0" fontId="6" numFmtId="0" xfId="0" applyBorder="1" applyFont="1"/>
    <xf borderId="52" fillId="0" fontId="6" numFmtId="0" xfId="0" applyBorder="1" applyFont="1"/>
    <xf borderId="53" fillId="0" fontId="6" numFmtId="0" xfId="0" applyBorder="1" applyFont="1"/>
    <xf borderId="0" fillId="2" fontId="73" numFmtId="0" xfId="0" applyAlignment="1" applyFont="1">
      <alignment horizontal="left" vertical="center"/>
    </xf>
    <xf borderId="22" fillId="0" fontId="26" numFmtId="0" xfId="0" applyAlignment="1" applyBorder="1" applyFont="1">
      <alignment vertical="bottom"/>
    </xf>
    <xf borderId="23" fillId="0" fontId="26" numFmtId="0" xfId="0" applyAlignment="1" applyBorder="1" applyFont="1">
      <alignment vertical="bottom"/>
    </xf>
    <xf borderId="32" fillId="0" fontId="6" numFmtId="0" xfId="0" applyBorder="1" applyFont="1"/>
    <xf borderId="0" fillId="0" fontId="26" numFmtId="0" xfId="0" applyFont="1"/>
    <xf borderId="22" fillId="0" fontId="23" numFmtId="49" xfId="0" applyAlignment="1" applyBorder="1" applyFont="1" applyNumberFormat="1">
      <alignment horizontal="left" readingOrder="0" shrinkToFit="0" vertical="bottom" wrapText="1"/>
    </xf>
    <xf borderId="22" fillId="0" fontId="56" numFmtId="0" xfId="0" applyAlignment="1" applyBorder="1" applyFont="1">
      <alignment horizontal="left" vertical="bottom"/>
    </xf>
    <xf borderId="27" fillId="0" fontId="74" numFmtId="0" xfId="0" applyAlignment="1" applyBorder="1" applyFont="1">
      <alignment vertical="bottom"/>
    </xf>
    <xf borderId="0" fillId="0" fontId="37" numFmtId="0" xfId="0" applyAlignment="1" applyFont="1">
      <alignment horizontal="center" vertical="bottom"/>
    </xf>
    <xf borderId="0" fillId="0" fontId="47" numFmtId="0" xfId="0" applyAlignment="1" applyFont="1">
      <alignment horizontal="center" readingOrder="0" vertical="top"/>
    </xf>
    <xf borderId="0" fillId="0" fontId="1" numFmtId="0" xfId="0" applyAlignment="1" applyFont="1">
      <alignment vertical="center"/>
    </xf>
    <xf borderId="6" fillId="0" fontId="1" numFmtId="0" xfId="0" applyAlignment="1" applyBorder="1" applyFont="1">
      <alignment vertical="center"/>
    </xf>
    <xf borderId="5" fillId="0" fontId="47" numFmtId="0" xfId="0" applyAlignment="1" applyBorder="1" applyFont="1">
      <alignment horizontal="left" vertical="center"/>
    </xf>
    <xf borderId="5" fillId="0" fontId="1" numFmtId="0" xfId="0" applyAlignment="1" applyBorder="1" applyFont="1">
      <alignment vertical="center"/>
    </xf>
    <xf borderId="5" fillId="0" fontId="47" numFmtId="0" xfId="0" applyAlignment="1" applyBorder="1" applyFont="1">
      <alignment horizontal="center" vertical="center"/>
    </xf>
    <xf borderId="29" fillId="5" fontId="48" numFmtId="0" xfId="0" applyAlignment="1" applyBorder="1" applyFont="1">
      <alignment horizontal="left" readingOrder="0" vertical="center"/>
    </xf>
    <xf borderId="29" fillId="0" fontId="18" numFmtId="0" xfId="0" applyAlignment="1" applyBorder="1" applyFont="1">
      <alignment vertical="center"/>
    </xf>
    <xf borderId="6" fillId="0" fontId="37" numFmtId="49" xfId="0" applyAlignment="1" applyBorder="1" applyFont="1" applyNumberFormat="1">
      <alignment horizontal="center" vertical="center"/>
    </xf>
    <xf borderId="0" fillId="0" fontId="75" numFmtId="0" xfId="0" applyAlignment="1" applyFont="1">
      <alignment horizontal="center" vertical="center"/>
    </xf>
    <xf borderId="0" fillId="0" fontId="1" numFmtId="49" xfId="0" applyAlignment="1" applyFont="1" applyNumberFormat="1">
      <alignment vertical="center"/>
    </xf>
    <xf borderId="41" fillId="0" fontId="1" numFmtId="49" xfId="0" applyAlignment="1" applyBorder="1" applyFont="1" applyNumberFormat="1">
      <alignment vertical="center"/>
    </xf>
    <xf borderId="0" fillId="3" fontId="61" numFmtId="176" xfId="0" applyAlignment="1" applyFont="1" applyNumberFormat="1">
      <alignment horizontal="center" vertical="center"/>
    </xf>
    <xf borderId="27" fillId="0" fontId="48" numFmtId="0" xfId="0" applyAlignment="1" applyBorder="1" applyFont="1">
      <alignment vertical="center"/>
    </xf>
    <xf borderId="0" fillId="0" fontId="1" numFmtId="0" xfId="0" applyAlignment="1" applyFont="1">
      <alignment horizontal="center" vertical="center"/>
    </xf>
    <xf borderId="27" fillId="0" fontId="1" numFmtId="49" xfId="0" applyAlignment="1" applyBorder="1" applyFont="1" applyNumberFormat="1">
      <alignment vertical="center"/>
    </xf>
    <xf borderId="0" fillId="0" fontId="62" numFmtId="0" xfId="0" applyAlignment="1" applyFont="1">
      <alignment horizontal="center" vertical="center"/>
    </xf>
    <xf borderId="0" fillId="0" fontId="47" numFmtId="49" xfId="0" applyAlignment="1" applyFont="1" applyNumberFormat="1">
      <alignment horizontal="center" vertical="center"/>
    </xf>
    <xf borderId="6" fillId="0" fontId="63" numFmtId="49" xfId="0" applyAlignment="1" applyBorder="1" applyFont="1" applyNumberFormat="1">
      <alignment horizontal="center" vertical="center"/>
    </xf>
    <xf borderId="0" fillId="0" fontId="65" numFmtId="49" xfId="0" applyAlignment="1" applyFont="1" applyNumberFormat="1">
      <alignment horizontal="center" shrinkToFit="0" vertical="center" wrapText="1"/>
    </xf>
    <xf borderId="0" fillId="0" fontId="48" numFmtId="49" xfId="0" applyAlignment="1" applyFont="1" applyNumberFormat="1">
      <alignment vertical="center"/>
    </xf>
    <xf borderId="5" fillId="0" fontId="13" numFmtId="49" xfId="0" applyAlignment="1" applyBorder="1" applyFont="1" applyNumberFormat="1">
      <alignment horizontal="center" vertical="center"/>
    </xf>
    <xf borderId="6" fillId="0" fontId="13" numFmtId="49" xfId="0" applyAlignment="1" applyBorder="1" applyFont="1" applyNumberFormat="1">
      <alignment horizontal="center" vertical="center"/>
    </xf>
    <xf borderId="27" fillId="0" fontId="8" numFmtId="49" xfId="0" applyAlignment="1" applyBorder="1" applyFont="1" applyNumberFormat="1">
      <alignment vertical="center"/>
    </xf>
    <xf borderId="0" fillId="0" fontId="66" numFmtId="49" xfId="0" applyAlignment="1" applyFont="1" applyNumberFormat="1">
      <alignment horizontal="center" vertical="center"/>
    </xf>
    <xf borderId="0" fillId="0" fontId="62" numFmtId="0" xfId="0" applyAlignment="1" applyFont="1">
      <alignment vertical="center"/>
    </xf>
    <xf borderId="0" fillId="2" fontId="2" numFmtId="0" xfId="0" applyAlignment="1" applyFont="1">
      <alignment horizontal="left" shrinkToFit="0" vertical="center" wrapText="1"/>
    </xf>
    <xf borderId="15" fillId="0" fontId="5" numFmtId="49" xfId="0" applyAlignment="1" applyBorder="1" applyFont="1" applyNumberFormat="1">
      <alignment vertical="center"/>
    </xf>
    <xf borderId="15" fillId="0" fontId="48" numFmtId="49" xfId="0" applyAlignment="1" applyBorder="1" applyFont="1" applyNumberFormat="1">
      <alignment vertical="center"/>
    </xf>
    <xf borderId="0" fillId="0" fontId="3" numFmtId="49" xfId="0" applyAlignment="1" applyFont="1" applyNumberFormat="1">
      <alignment horizontal="center" shrinkToFit="0" vertical="center" wrapText="1"/>
    </xf>
    <xf borderId="0" fillId="0" fontId="38" numFmtId="183" xfId="0" applyAlignment="1" applyFont="1" applyNumberFormat="1">
      <alignment horizontal="center" shrinkToFit="0" vertical="center" wrapText="1"/>
    </xf>
    <xf borderId="5" fillId="0" fontId="9" numFmtId="0" xfId="0" applyAlignment="1" applyBorder="1" applyFont="1">
      <alignment horizontal="left" vertical="center"/>
    </xf>
    <xf borderId="9" fillId="5" fontId="48" numFmtId="0" xfId="0" applyAlignment="1" applyBorder="1" applyFont="1">
      <alignment horizontal="left" vertical="center"/>
    </xf>
    <xf borderId="9" fillId="0" fontId="18" numFmtId="0" xfId="0" applyAlignment="1" applyBorder="1" applyFont="1">
      <alignment vertical="center"/>
    </xf>
    <xf borderId="9" fillId="5" fontId="48" numFmtId="0" xfId="0" applyAlignment="1" applyBorder="1" applyFont="1">
      <alignment horizontal="center" vertical="center"/>
    </xf>
    <xf borderId="54" fillId="5" fontId="76" numFmtId="0" xfId="0" applyAlignment="1" applyBorder="1" applyFont="1">
      <alignment horizontal="right" vertical="center"/>
    </xf>
    <xf borderId="54" fillId="0" fontId="6" numFmtId="0" xfId="0" applyBorder="1" applyFont="1"/>
    <xf borderId="54" fillId="0" fontId="18" numFmtId="0" xfId="0" applyAlignment="1" applyBorder="1" applyFont="1">
      <alignment vertical="center"/>
    </xf>
    <xf borderId="54" fillId="5" fontId="77" numFmtId="0" xfId="0" applyAlignment="1" applyBorder="1" applyFont="1">
      <alignment horizontal="center" vertical="center"/>
    </xf>
    <xf borderId="29" fillId="5" fontId="23" numFmtId="0" xfId="0" applyAlignment="1" applyBorder="1" applyFont="1">
      <alignment horizontal="left" readingOrder="0" vertical="center"/>
    </xf>
    <xf borderId="6" fillId="3" fontId="48" numFmtId="0" xfId="0" applyAlignment="1" applyBorder="1" applyFont="1">
      <alignment horizontal="center" vertical="center"/>
    </xf>
    <xf borderId="6" fillId="3" fontId="5" numFmtId="0" xfId="0" applyAlignment="1" applyBorder="1" applyFont="1">
      <alignment vertical="center"/>
    </xf>
    <xf borderId="6" fillId="3" fontId="1" numFmtId="0" xfId="0" applyAlignment="1" applyBorder="1" applyFont="1">
      <alignment vertical="center"/>
    </xf>
    <xf borderId="0" fillId="3" fontId="48" numFmtId="0" xfId="0" applyAlignment="1" applyFont="1">
      <alignment horizontal="center" vertical="center"/>
    </xf>
    <xf borderId="0" fillId="3" fontId="5" numFmtId="0" xfId="0" applyAlignment="1" applyFont="1">
      <alignment vertical="center"/>
    </xf>
    <xf borderId="0" fillId="3" fontId="1" numFmtId="0" xfId="0" applyAlignment="1" applyFont="1">
      <alignment vertical="center"/>
    </xf>
    <xf borderId="0" fillId="0" fontId="78" numFmtId="0" xfId="0" applyAlignment="1" applyFont="1">
      <alignment horizontal="center" vertical="center"/>
    </xf>
    <xf borderId="0" fillId="0" fontId="79" numFmtId="0" xfId="0" applyFont="1"/>
    <xf borderId="0" fillId="8" fontId="2" numFmtId="0" xfId="0" applyAlignment="1" applyFill="1" applyFont="1">
      <alignment horizontal="left" vertical="bottom"/>
    </xf>
    <xf borderId="0" fillId="8" fontId="80" numFmtId="0" xfId="0" applyAlignment="1" applyFont="1">
      <alignment horizontal="left" vertical="bottom"/>
    </xf>
    <xf borderId="6" fillId="0" fontId="1" numFmtId="0" xfId="0" applyBorder="1" applyFont="1"/>
    <xf borderId="5" fillId="0" fontId="81" numFmtId="0" xfId="0" applyAlignment="1" applyBorder="1" applyFont="1">
      <alignment horizontal="center" readingOrder="0" vertical="center"/>
    </xf>
    <xf borderId="5" fillId="0" fontId="82" numFmtId="0" xfId="0" applyAlignment="1" applyBorder="1" applyFont="1">
      <alignment horizontal="center" readingOrder="0" vertical="center"/>
    </xf>
    <xf borderId="5" fillId="0" fontId="83" numFmtId="0" xfId="0" applyAlignment="1" applyBorder="1" applyFont="1">
      <alignment horizontal="center" readingOrder="0" vertical="center"/>
    </xf>
    <xf borderId="5" fillId="0" fontId="84" numFmtId="0" xfId="0" applyAlignment="1" applyBorder="1" applyFont="1">
      <alignment horizontal="center" readingOrder="0" vertical="center"/>
    </xf>
    <xf borderId="5" fillId="0" fontId="83" numFmtId="184" xfId="0" applyAlignment="1" applyBorder="1" applyFont="1" applyNumberFormat="1">
      <alignment horizontal="center" readingOrder="0" vertical="center"/>
    </xf>
    <xf borderId="6" fillId="0" fontId="79" numFmtId="0" xfId="0" applyBorder="1" applyFont="1"/>
    <xf borderId="22" fillId="0" fontId="1" numFmtId="0" xfId="0" applyBorder="1" applyFont="1"/>
    <xf borderId="22" fillId="0" fontId="85" numFmtId="0" xfId="0" applyAlignment="1" applyBorder="1" applyFont="1">
      <alignment horizontal="left" readingOrder="0"/>
    </xf>
    <xf borderId="27" fillId="0" fontId="1" numFmtId="0" xfId="0" applyBorder="1" applyFont="1"/>
    <xf borderId="27" fillId="0" fontId="78" numFmtId="0" xfId="0" applyAlignment="1" applyBorder="1" applyFont="1">
      <alignment horizontal="center" vertical="center"/>
    </xf>
    <xf borderId="27" fillId="0" fontId="79" numFmtId="0" xfId="0" applyBorder="1" applyFont="1"/>
    <xf borderId="27" fillId="0" fontId="47" numFmtId="0" xfId="0" applyAlignment="1" applyBorder="1" applyFont="1">
      <alignment horizontal="center" vertical="bottom"/>
    </xf>
    <xf borderId="27" fillId="0" fontId="47" numFmtId="49" xfId="0" applyAlignment="1" applyBorder="1" applyFont="1" applyNumberFormat="1">
      <alignment horizontal="left" vertical="bottom"/>
    </xf>
    <xf borderId="27" fillId="0" fontId="86" numFmtId="49" xfId="0" applyAlignment="1" applyBorder="1" applyFont="1" applyNumberFormat="1">
      <alignment horizontal="center" readingOrder="0" vertical="center"/>
    </xf>
    <xf borderId="27" fillId="3" fontId="87" numFmtId="179" xfId="0" applyAlignment="1" applyBorder="1" applyFont="1" applyNumberFormat="1">
      <alignment horizontal="center" vertical="bottom"/>
    </xf>
    <xf borderId="27" fillId="3" fontId="87" numFmtId="178" xfId="0" applyAlignment="1" applyBorder="1" applyFont="1" applyNumberFormat="1">
      <alignment horizontal="center" vertical="bottom"/>
    </xf>
    <xf borderId="34" fillId="3" fontId="47" numFmtId="178" xfId="0" applyAlignment="1" applyBorder="1" applyFont="1" applyNumberFormat="1">
      <alignment horizontal="right" vertical="bottom"/>
    </xf>
    <xf borderId="34" fillId="0" fontId="1" numFmtId="0" xfId="0" applyBorder="1" applyFont="1"/>
    <xf borderId="27" fillId="8" fontId="2" numFmtId="0" xfId="0" applyAlignment="1" applyBorder="1" applyFont="1">
      <alignment horizontal="left" vertical="bottom"/>
    </xf>
    <xf borderId="55" fillId="8" fontId="2" numFmtId="0" xfId="0" applyAlignment="1" applyBorder="1" applyFont="1">
      <alignment horizontal="left" shrinkToFit="0" vertical="bottom" wrapText="0"/>
    </xf>
    <xf borderId="56" fillId="8" fontId="2" numFmtId="0" xfId="0" applyAlignment="1" applyBorder="1" applyFont="1">
      <alignment horizontal="left" vertical="bottom"/>
    </xf>
    <xf borderId="23" fillId="0" fontId="88" numFmtId="0" xfId="0" applyAlignment="1" applyBorder="1" applyFont="1">
      <alignment horizontal="right" readingOrder="0" vertical="center"/>
    </xf>
    <xf borderId="23" fillId="0" fontId="65" numFmtId="49" xfId="0" applyAlignment="1" applyBorder="1" applyFont="1" applyNumberFormat="1">
      <alignment readingOrder="0" vertical="center"/>
    </xf>
    <xf borderId="23" fillId="3" fontId="89" numFmtId="185" xfId="0" applyAlignment="1" applyBorder="1" applyFont="1" applyNumberFormat="1">
      <alignment horizontal="center" readingOrder="0" vertical="center"/>
    </xf>
    <xf borderId="23" fillId="3" fontId="89" numFmtId="178" xfId="0" applyAlignment="1" applyBorder="1" applyFont="1" applyNumberFormat="1">
      <alignment horizontal="center" readingOrder="0" vertical="center"/>
    </xf>
    <xf borderId="57" fillId="3" fontId="65" numFmtId="178" xfId="0" applyAlignment="1" applyBorder="1" applyFont="1" applyNumberFormat="1">
      <alignment horizontal="right" readingOrder="0" vertical="center"/>
    </xf>
    <xf borderId="58" fillId="0" fontId="90" numFmtId="0" xfId="0" applyBorder="1" applyFont="1"/>
    <xf borderId="23" fillId="0" fontId="88" numFmtId="0" xfId="0" applyAlignment="1" applyBorder="1" applyFont="1">
      <alignment horizontal="right" vertical="center"/>
    </xf>
    <xf borderId="59" fillId="8" fontId="2" numFmtId="0" xfId="0" applyAlignment="1" applyBorder="1" applyFont="1">
      <alignment horizontal="left" vertical="bottom"/>
    </xf>
    <xf borderId="60" fillId="8" fontId="2" numFmtId="178" xfId="0" applyAlignment="1" applyBorder="1" applyFont="1" applyNumberFormat="1">
      <alignment horizontal="left" vertical="bottom"/>
    </xf>
    <xf borderId="57" fillId="8" fontId="2" numFmtId="178" xfId="0" applyAlignment="1" applyBorder="1" applyFont="1" applyNumberFormat="1">
      <alignment horizontal="left" vertical="bottom"/>
    </xf>
    <xf borderId="57" fillId="3" fontId="65" numFmtId="178" xfId="0" applyAlignment="1" applyBorder="1" applyFont="1" applyNumberFormat="1">
      <alignment horizontal="right" vertical="center"/>
    </xf>
    <xf borderId="23" fillId="0" fontId="34" numFmtId="49" xfId="0" applyAlignment="1" applyBorder="1" applyFont="1" applyNumberFormat="1">
      <alignment readingOrder="0" vertical="center"/>
    </xf>
    <xf borderId="23" fillId="3" fontId="89" numFmtId="178" xfId="0" applyAlignment="1" applyBorder="1" applyFont="1" applyNumberFormat="1">
      <alignment horizontal="center" vertical="center"/>
    </xf>
    <xf borderId="23" fillId="3" fontId="68" numFmtId="185" xfId="0" applyAlignment="1" applyBorder="1" applyFont="1" applyNumberFormat="1">
      <alignment horizontal="center" readingOrder="0" vertical="center"/>
    </xf>
    <xf borderId="23" fillId="3" fontId="89" numFmtId="185" xfId="0" applyAlignment="1" applyBorder="1" applyFont="1" applyNumberFormat="1">
      <alignment horizontal="center" vertical="center"/>
    </xf>
    <xf borderId="23" fillId="0" fontId="65" numFmtId="49" xfId="0" applyAlignment="1" applyBorder="1" applyFont="1" applyNumberFormat="1">
      <alignment vertical="center"/>
    </xf>
    <xf borderId="23" fillId="3" fontId="68" numFmtId="185" xfId="0" applyAlignment="1" applyBorder="1" applyFont="1" applyNumberFormat="1">
      <alignment horizontal="center" vertical="center"/>
    </xf>
    <xf borderId="61" fillId="8" fontId="2" numFmtId="0" xfId="0" applyAlignment="1" applyBorder="1" applyFont="1">
      <alignment horizontal="left" vertical="bottom"/>
    </xf>
    <xf borderId="62" fillId="8" fontId="2" numFmtId="178" xfId="0" applyAlignment="1" applyBorder="1" applyFont="1" applyNumberFormat="1">
      <alignment horizontal="left" vertical="bottom"/>
    </xf>
    <xf borderId="6" fillId="0" fontId="19" numFmtId="0" xfId="0" applyAlignment="1" applyBorder="1" applyFont="1">
      <alignment horizontal="center" readingOrder="0"/>
    </xf>
    <xf borderId="6" fillId="0" fontId="19" numFmtId="186" xfId="0" applyAlignment="1" applyBorder="1" applyFont="1" applyNumberFormat="1">
      <alignment horizontal="right"/>
    </xf>
    <xf borderId="6" fillId="0" fontId="91" numFmtId="0" xfId="0" applyAlignment="1" applyBorder="1" applyFont="1">
      <alignment horizontal="center" readingOrder="0"/>
    </xf>
    <xf borderId="6" fillId="0" fontId="19" numFmtId="187" xfId="0" applyAlignment="1" applyBorder="1" applyFont="1" applyNumberFormat="1">
      <alignment horizontal="left"/>
    </xf>
    <xf borderId="0" fillId="8" fontId="2" numFmtId="178" xfId="0" applyAlignment="1" applyFont="1" applyNumberFormat="1">
      <alignment horizontal="left" vertical="bottom"/>
    </xf>
    <xf borderId="6" fillId="0" fontId="5" numFmtId="0" xfId="0" applyAlignment="1" applyBorder="1" applyFont="1">
      <alignment vertical="center"/>
    </xf>
    <xf borderId="6" fillId="0" fontId="92" numFmtId="188" xfId="0" applyAlignment="1" applyBorder="1" applyFont="1" applyNumberFormat="1">
      <alignment horizontal="center" readingOrder="0" vertical="center"/>
    </xf>
    <xf borderId="6" fillId="0" fontId="78" numFmtId="0" xfId="0" applyAlignment="1" applyBorder="1" applyFont="1">
      <alignment horizontal="center" vertical="center"/>
    </xf>
    <xf borderId="23" fillId="0" fontId="47" numFmtId="0" xfId="0" applyAlignment="1" applyBorder="1" applyFont="1">
      <alignment horizontal="center" vertical="bottom"/>
    </xf>
    <xf borderId="23" fillId="0" fontId="47" numFmtId="49" xfId="0" applyAlignment="1" applyBorder="1" applyFont="1" applyNumberFormat="1">
      <alignment horizontal="left" vertical="bottom"/>
    </xf>
    <xf borderId="23" fillId="0" fontId="86" numFmtId="49" xfId="0" applyAlignment="1" applyBorder="1" applyFont="1" applyNumberFormat="1">
      <alignment horizontal="center" readingOrder="0" vertical="top"/>
    </xf>
    <xf borderId="23" fillId="3" fontId="87" numFmtId="179" xfId="0" applyAlignment="1" applyBorder="1" applyFont="1" applyNumberFormat="1">
      <alignment horizontal="center" vertical="bottom"/>
    </xf>
    <xf borderId="23" fillId="3" fontId="87" numFmtId="178" xfId="0" applyAlignment="1" applyBorder="1" applyFont="1" applyNumberFormat="1">
      <alignment horizontal="center" vertical="bottom"/>
    </xf>
    <xf borderId="23" fillId="0" fontId="86" numFmtId="49" xfId="0" applyAlignment="1" applyBorder="1" applyFont="1" applyNumberFormat="1">
      <alignment horizontal="center" readingOrder="0" vertical="bottom"/>
    </xf>
    <xf borderId="6" fillId="0" fontId="19" numFmtId="0" xfId="0" applyAlignment="1" applyBorder="1" applyFont="1">
      <alignment horizontal="center" readingOrder="0" vertical="center"/>
    </xf>
    <xf borderId="5" fillId="0" fontId="92" numFmtId="184" xfId="0" applyAlignment="1" applyBorder="1" applyFont="1" applyNumberFormat="1">
      <alignment horizontal="center" readingOrder="0" vertical="center"/>
    </xf>
    <xf borderId="22" fillId="0" fontId="93" numFmtId="0" xfId="0" applyAlignment="1" applyBorder="1" applyFont="1">
      <alignment readingOrder="0"/>
    </xf>
    <xf borderId="0" fillId="0" fontId="47" numFmtId="0" xfId="0" applyAlignment="1" applyFont="1">
      <alignment horizontal="right" readingOrder="0"/>
    </xf>
    <xf borderId="0" fillId="0" fontId="47" numFmtId="0" xfId="0" applyAlignment="1" applyFont="1">
      <alignment readingOrder="0"/>
    </xf>
    <xf borderId="23" fillId="0" fontId="65" numFmtId="184" xfId="0" applyAlignment="1" applyBorder="1" applyFont="1" applyNumberFormat="1">
      <alignment horizontal="right" vertical="bottom"/>
    </xf>
    <xf borderId="23" fillId="0" fontId="65" numFmtId="0" xfId="0" applyAlignment="1" applyBorder="1" applyFont="1">
      <alignment horizontal="left" readingOrder="0" vertical="bottom"/>
    </xf>
    <xf borderId="34" fillId="3" fontId="89" numFmtId="178" xfId="0" applyAlignment="1" applyBorder="1" applyFont="1" applyNumberFormat="1">
      <alignment horizontal="right" vertical="bottom"/>
    </xf>
    <xf borderId="34" fillId="0" fontId="33" numFmtId="0" xfId="0" applyBorder="1" applyFont="1"/>
    <xf borderId="23" fillId="0" fontId="65" numFmtId="0" xfId="0" applyAlignment="1" applyBorder="1" applyFont="1">
      <alignment horizontal="left" vertical="bottom"/>
    </xf>
    <xf borderId="23" fillId="3" fontId="65" numFmtId="184" xfId="0" applyAlignment="1" applyBorder="1" applyFont="1" applyNumberFormat="1">
      <alignment horizontal="right" readingOrder="0" vertical="center"/>
    </xf>
    <xf borderId="23" fillId="3" fontId="65" numFmtId="178" xfId="0" applyAlignment="1" applyBorder="1" applyFont="1" applyNumberFormat="1">
      <alignment horizontal="left" readingOrder="0" vertical="center"/>
    </xf>
    <xf borderId="58" fillId="0" fontId="33" numFmtId="0" xfId="0" applyBorder="1" applyFont="1"/>
    <xf borderId="23" fillId="3" fontId="65" numFmtId="184" xfId="0" applyAlignment="1" applyBorder="1" applyFont="1" applyNumberFormat="1">
      <alignment horizontal="right" vertical="center"/>
    </xf>
    <xf borderId="23" fillId="3" fontId="65" numFmtId="178" xfId="0" applyAlignment="1" applyBorder="1" applyFont="1" applyNumberFormat="1">
      <alignment horizontal="left" vertical="center"/>
    </xf>
    <xf borderId="0" fillId="0" fontId="3" numFmtId="0" xfId="0" applyAlignment="1" applyFont="1">
      <alignment horizontal="center"/>
    </xf>
    <xf borderId="0" fillId="0" fontId="1" numFmtId="0" xfId="0" applyAlignment="1" applyFont="1">
      <alignment vertical="top"/>
    </xf>
    <xf borderId="0" fillId="2" fontId="94" numFmtId="0" xfId="0" applyAlignment="1" applyFont="1">
      <alignment horizontal="left"/>
    </xf>
    <xf borderId="0" fillId="2" fontId="18" numFmtId="0" xfId="0" applyAlignment="1" applyFont="1">
      <alignment vertical="bottom"/>
    </xf>
    <xf borderId="5" fillId="0" fontId="5" numFmtId="49" xfId="0" applyAlignment="1" applyBorder="1" applyFont="1" applyNumberFormat="1">
      <alignment vertical="center"/>
    </xf>
    <xf borderId="22" fillId="0" fontId="47" numFmtId="0" xfId="0" applyAlignment="1" applyBorder="1" applyFont="1">
      <alignment horizontal="center" vertical="bottom"/>
    </xf>
    <xf borderId="22" fillId="0" fontId="47" numFmtId="49" xfId="0" applyAlignment="1" applyBorder="1" applyFont="1" applyNumberFormat="1">
      <alignment horizontal="left" vertical="bottom"/>
    </xf>
    <xf borderId="22" fillId="3" fontId="47" numFmtId="179" xfId="0" applyAlignment="1" applyBorder="1" applyFont="1" applyNumberFormat="1">
      <alignment horizontal="right" vertical="bottom"/>
    </xf>
    <xf borderId="22" fillId="3" fontId="47" numFmtId="178" xfId="0" applyAlignment="1" applyBorder="1" applyFont="1" applyNumberFormat="1">
      <alignment horizontal="right" vertical="bottom"/>
    </xf>
    <xf borderId="5" fillId="0" fontId="1" numFmtId="0" xfId="0" applyAlignment="1" applyBorder="1" applyFont="1">
      <alignment vertical="top"/>
    </xf>
    <xf borderId="27" fillId="2" fontId="2" numFmtId="0" xfId="0" applyAlignment="1" applyBorder="1" applyFont="1">
      <alignment horizontal="left" vertical="bottom"/>
    </xf>
    <xf borderId="55" fillId="2" fontId="2" numFmtId="0" xfId="0" applyAlignment="1" applyBorder="1" applyFont="1">
      <alignment horizontal="left" shrinkToFit="0" vertical="bottom" wrapText="0"/>
    </xf>
    <xf borderId="56" fillId="2" fontId="2" numFmtId="0" xfId="0" applyAlignment="1" applyBorder="1" applyFont="1">
      <alignment vertical="bottom"/>
    </xf>
    <xf borderId="23" fillId="0" fontId="48" numFmtId="0" xfId="0" applyAlignment="1" applyBorder="1" applyFont="1">
      <alignment horizontal="right" vertical="center"/>
    </xf>
    <xf borderId="23" fillId="0" fontId="48" numFmtId="49" xfId="0" applyAlignment="1" applyBorder="1" applyFont="1" applyNumberFormat="1">
      <alignment vertical="center"/>
    </xf>
    <xf borderId="23" fillId="3" fontId="48" numFmtId="179" xfId="0" applyAlignment="1" applyBorder="1" applyFont="1" applyNumberFormat="1">
      <alignment horizontal="right" vertical="center"/>
    </xf>
    <xf borderId="23" fillId="3" fontId="48" numFmtId="178" xfId="0" applyAlignment="1" applyBorder="1" applyFont="1" applyNumberFormat="1">
      <alignment horizontal="right" vertical="center"/>
    </xf>
    <xf borderId="59" fillId="2" fontId="2" numFmtId="0" xfId="0" applyAlignment="1" applyBorder="1" applyFont="1">
      <alignment horizontal="left" vertical="bottom"/>
    </xf>
    <xf borderId="60" fillId="2" fontId="2" numFmtId="178" xfId="0" applyAlignment="1" applyBorder="1" applyFont="1" applyNumberFormat="1">
      <alignment horizontal="left" vertical="bottom"/>
    </xf>
    <xf borderId="59" fillId="2" fontId="2" numFmtId="0" xfId="0" applyAlignment="1" applyBorder="1" applyFont="1">
      <alignment vertical="bottom"/>
    </xf>
    <xf borderId="23" fillId="3" fontId="56" numFmtId="179" xfId="0" applyAlignment="1" applyBorder="1" applyFont="1" applyNumberFormat="1">
      <alignment horizontal="right" vertical="center"/>
    </xf>
    <xf borderId="5" fillId="0" fontId="95" numFmtId="0" xfId="0" applyAlignment="1" applyBorder="1" applyFont="1">
      <alignment horizontal="center" readingOrder="0" vertical="center"/>
    </xf>
    <xf borderId="23" fillId="3" fontId="23" numFmtId="178" xfId="0" applyAlignment="1" applyBorder="1" applyFont="1" applyNumberFormat="1">
      <alignment horizontal="right" readingOrder="0" vertical="center"/>
    </xf>
    <xf borderId="23" fillId="3" fontId="48" numFmtId="179" xfId="0" applyAlignment="1" applyBorder="1" applyFont="1" applyNumberFormat="1">
      <alignment horizontal="right" readingOrder="0" vertical="center"/>
    </xf>
    <xf borderId="27" fillId="0" fontId="5" numFmtId="0" xfId="0" applyAlignment="1" applyBorder="1" applyFont="1">
      <alignment vertical="center"/>
    </xf>
    <xf borderId="27" fillId="0" fontId="1" numFmtId="0" xfId="0" applyBorder="1" applyFont="1"/>
    <xf borderId="0" fillId="0" fontId="37" numFmtId="0" xfId="0" applyAlignment="1" applyFont="1">
      <alignment horizontal="left" vertical="bottom"/>
    </xf>
    <xf borderId="22" fillId="0" fontId="53" numFmtId="189" xfId="0" applyAlignment="1" applyBorder="1" applyFont="1" applyNumberFormat="1">
      <alignment horizontal="center" vertical="bottom"/>
    </xf>
    <xf borderId="0" fillId="0" fontId="54" numFmtId="189" xfId="0" applyAlignment="1" applyFont="1" applyNumberFormat="1">
      <alignment horizontal="center" vertical="center"/>
    </xf>
    <xf borderId="22" fillId="0" fontId="53" numFmtId="178" xfId="0" applyAlignment="1" applyBorder="1" applyFont="1" applyNumberFormat="1">
      <alignment horizontal="center" vertical="bottom"/>
    </xf>
    <xf borderId="0" fillId="0" fontId="54" numFmtId="190" xfId="0" applyAlignment="1" applyFont="1" applyNumberFormat="1">
      <alignment horizontal="center" vertical="center"/>
    </xf>
    <xf borderId="27" fillId="0" fontId="37" numFmtId="0" xfId="0" applyAlignment="1" applyBorder="1" applyFont="1">
      <alignment horizontal="center" vertical="bottom"/>
    </xf>
    <xf borderId="27" fillId="0" fontId="3" numFmtId="179" xfId="0" applyAlignment="1" applyBorder="1" applyFont="1" applyNumberFormat="1">
      <alignment horizontal="center" vertical="center"/>
    </xf>
    <xf borderId="23" fillId="0" fontId="1" numFmtId="0" xfId="0" applyBorder="1" applyFont="1"/>
    <xf borderId="63" fillId="2" fontId="2" numFmtId="0" xfId="0" applyAlignment="1" applyBorder="1" applyFont="1">
      <alignment horizontal="left" vertical="bottom"/>
    </xf>
    <xf borderId="57" fillId="2" fontId="2" numFmtId="178" xfId="0" applyAlignment="1" applyBorder="1" applyFont="1" applyNumberFormat="1">
      <alignment horizontal="left" vertical="bottom"/>
    </xf>
    <xf borderId="25" fillId="0" fontId="1" numFmtId="0" xfId="0" applyAlignment="1" applyBorder="1" applyFont="1">
      <alignment horizontal="center"/>
    </xf>
    <xf borderId="0" fillId="2" fontId="2" numFmtId="0" xfId="0" applyAlignment="1" applyFont="1">
      <alignment horizontal="left" vertical="bottom"/>
    </xf>
    <xf borderId="0" fillId="2" fontId="2" numFmtId="178" xfId="0" applyAlignment="1" applyFont="1" applyNumberFormat="1">
      <alignment horizontal="left" vertical="bottom"/>
    </xf>
    <xf borderId="0" fillId="0" fontId="90" numFmtId="0" xfId="0" applyFont="1"/>
    <xf borderId="0" fillId="0" fontId="90" numFmtId="0" xfId="0" applyAlignment="1" applyFont="1">
      <alignment vertical="top"/>
    </xf>
    <xf borderId="22" fillId="0" fontId="96" numFmtId="0" xfId="0" applyAlignment="1" applyBorder="1" applyFont="1">
      <alignment horizontal="left"/>
    </xf>
    <xf borderId="23" fillId="0" fontId="34" numFmtId="0" xfId="0" applyAlignment="1" applyBorder="1" applyFont="1">
      <alignment horizontal="left"/>
    </xf>
    <xf borderId="23" fillId="0" fontId="97" numFmtId="0" xfId="0" applyAlignment="1" applyBorder="1" applyFont="1">
      <alignment horizontal="left"/>
    </xf>
    <xf borderId="27" fillId="0" fontId="96" numFmtId="0" xfId="0" applyAlignment="1" applyBorder="1" applyFont="1">
      <alignment horizontal="left"/>
    </xf>
    <xf borderId="27" fillId="0" fontId="34" numFmtId="0" xfId="0" applyAlignment="1" applyBorder="1" applyFont="1">
      <alignment horizontal="left"/>
    </xf>
    <xf borderId="23" fillId="0" fontId="96" numFmtId="0" xfId="0" applyAlignment="1" applyBorder="1" applyFont="1">
      <alignment horizontal="left"/>
    </xf>
    <xf borderId="23" fillId="0" fontId="96" numFmtId="0" xfId="0" applyAlignment="1" applyBorder="1" applyFont="1">
      <alignment horizontal="left" vertical="bottom"/>
    </xf>
    <xf borderId="27" fillId="0" fontId="34" numFmtId="0" xfId="0" applyAlignment="1" applyBorder="1" applyFont="1">
      <alignment horizontal="left" vertical="bottom"/>
    </xf>
    <xf borderId="27" fillId="0" fontId="96" numFmtId="0" xfId="0" applyAlignment="1" applyBorder="1" applyFont="1">
      <alignment horizontal="left" vertical="bottom"/>
    </xf>
    <xf borderId="23" fillId="0" fontId="96" numFmtId="0" xfId="0" applyAlignment="1" applyBorder="1" applyFont="1">
      <alignment vertical="bottom"/>
    </xf>
    <xf borderId="27" fillId="0" fontId="34" numFmtId="0" xfId="0" applyAlignment="1" applyBorder="1" applyFont="1">
      <alignment vertical="bottom"/>
    </xf>
    <xf borderId="27" fillId="0" fontId="96" numFmtId="0" xfId="0" applyAlignment="1" applyBorder="1" applyFont="1">
      <alignment vertical="bottom"/>
    </xf>
    <xf borderId="27" fillId="3" fontId="98" numFmtId="0" xfId="0" applyAlignment="1" applyBorder="1" applyFont="1">
      <alignment vertical="bottom"/>
    </xf>
    <xf borderId="23" fillId="0" fontId="34" numFmtId="0" xfId="0" applyAlignment="1" applyBorder="1" applyFont="1">
      <alignment horizontal="left" readingOrder="0"/>
    </xf>
    <xf borderId="23" fillId="0" fontId="96" numFmtId="0" xfId="0" applyAlignment="1" applyBorder="1" applyFont="1">
      <alignment horizontal="left" readingOrder="0"/>
    </xf>
    <xf borderId="4" fillId="0" fontId="34" numFmtId="0" xfId="0" applyAlignment="1" applyBorder="1" applyFont="1">
      <alignment horizontal="left"/>
    </xf>
    <xf borderId="6" fillId="0" fontId="99" numFmtId="171" xfId="0" applyAlignment="1" applyBorder="1" applyFont="1" applyNumberFormat="1">
      <alignment horizontal="center" vertical="bottom"/>
    </xf>
    <xf borderId="0" fillId="0" fontId="90" numFmtId="171" xfId="0" applyFont="1" applyNumberFormat="1"/>
    <xf borderId="0" fillId="0" fontId="90" numFmtId="191" xfId="0" applyFont="1" applyNumberFormat="1"/>
    <xf borderId="22" fillId="0" fontId="47" numFmtId="0" xfId="0" applyAlignment="1" applyBorder="1" applyFont="1">
      <alignment horizontal="center" vertical="center"/>
    </xf>
    <xf borderId="22" fillId="0" fontId="27" numFmtId="0" xfId="0" applyAlignment="1" applyBorder="1" applyFont="1">
      <alignment horizontal="center" vertical="center"/>
    </xf>
    <xf borderId="22" fillId="0" fontId="14" numFmtId="0" xfId="0" applyAlignment="1" applyBorder="1" applyFont="1">
      <alignment horizontal="left"/>
    </xf>
    <xf borderId="0" fillId="0" fontId="19" numFmtId="0" xfId="0" applyAlignment="1" applyFont="1">
      <alignment horizontal="right" vertical="center"/>
    </xf>
    <xf borderId="0" fillId="0" fontId="65" numFmtId="0" xfId="0" applyAlignment="1" applyFont="1">
      <alignment horizontal="center" vertical="center"/>
    </xf>
    <xf borderId="0" fillId="0" fontId="100" numFmtId="0" xfId="0" applyAlignment="1" applyFont="1">
      <alignment horizontal="center" vertical="center"/>
    </xf>
    <xf borderId="0" fillId="0" fontId="101" numFmtId="0" xfId="0" applyAlignment="1" applyFont="1">
      <alignment horizontal="center" vertical="center"/>
    </xf>
    <xf borderId="64" fillId="0" fontId="65" numFmtId="192" xfId="0" applyAlignment="1" applyBorder="1" applyFont="1" applyNumberFormat="1">
      <alignment horizontal="center" vertical="center"/>
    </xf>
    <xf borderId="64" fillId="0" fontId="6" numFmtId="0" xfId="0" applyBorder="1" applyFont="1"/>
    <xf borderId="65" fillId="0" fontId="102" numFmtId="0" xfId="0" applyAlignment="1" applyBorder="1" applyFont="1">
      <alignment horizontal="center" vertical="bottom"/>
    </xf>
    <xf borderId="65" fillId="0" fontId="6" numFmtId="0" xfId="0" applyBorder="1" applyFont="1"/>
    <xf borderId="66" fillId="0" fontId="102" numFmtId="0" xfId="0" applyAlignment="1" applyBorder="1" applyFont="1">
      <alignment horizontal="center" vertical="bottom"/>
    </xf>
    <xf borderId="66" fillId="0" fontId="6" numFmtId="0" xfId="0" applyBorder="1" applyFont="1"/>
    <xf borderId="67" fillId="0" fontId="102" numFmtId="0" xfId="0" applyAlignment="1" applyBorder="1" applyFont="1">
      <alignment horizontal="center" vertical="bottom"/>
    </xf>
    <xf borderId="67" fillId="0" fontId="6" numFmtId="0" xfId="0" applyBorder="1" applyFont="1"/>
    <xf borderId="64" fillId="0" fontId="101" numFmtId="0" xfId="0" applyAlignment="1" applyBorder="1" applyFont="1">
      <alignment horizontal="right" vertical="top"/>
    </xf>
    <xf borderId="64" fillId="0" fontId="103" numFmtId="193" xfId="0" applyAlignment="1" applyBorder="1" applyFont="1" applyNumberFormat="1">
      <alignment horizontal="center" vertical="top"/>
    </xf>
    <xf borderId="68" fillId="0" fontId="101" numFmtId="0" xfId="0" applyAlignment="1" applyBorder="1" applyFont="1">
      <alignment horizontal="right" vertical="top"/>
    </xf>
    <xf borderId="68" fillId="0" fontId="103" numFmtId="193" xfId="0" applyAlignment="1" applyBorder="1" applyFont="1" applyNumberFormat="1">
      <alignment horizontal="center" vertical="top"/>
    </xf>
    <xf borderId="69" fillId="0" fontId="101" numFmtId="0" xfId="0" applyAlignment="1" applyBorder="1" applyFont="1">
      <alignment horizontal="right" vertical="top"/>
    </xf>
    <xf borderId="69" fillId="0" fontId="103" numFmtId="193" xfId="0" applyAlignment="1" applyBorder="1" applyFont="1" applyNumberFormat="1">
      <alignment horizontal="center" vertical="top"/>
    </xf>
    <xf borderId="0" fillId="0" fontId="90" numFmtId="0" xfId="0" applyAlignment="1" applyFont="1">
      <alignment readingOrder="0"/>
    </xf>
    <xf borderId="0" fillId="0" fontId="55" numFmtId="0" xfId="0" applyAlignment="1" applyFont="1">
      <alignment horizontal="left" vertical="center"/>
    </xf>
    <xf borderId="34" fillId="0" fontId="37" numFmtId="0" xfId="0" applyAlignment="1" applyBorder="1" applyFont="1">
      <alignment horizontal="center" vertical="bottom"/>
    </xf>
    <xf borderId="5" fillId="0" fontId="5" numFmtId="0" xfId="0" applyAlignment="1" applyBorder="1" applyFont="1">
      <alignment horizontal="center" vertical="center"/>
    </xf>
    <xf borderId="0" fillId="0" fontId="40" numFmtId="0" xfId="0" applyFont="1"/>
    <xf borderId="0" fillId="0" fontId="40" numFmtId="0" xfId="0" applyAlignment="1" applyFont="1">
      <alignment horizontal="center" shrinkToFit="0" wrapText="1"/>
    </xf>
    <xf borderId="0" fillId="0" fontId="40" numFmtId="0" xfId="0" applyAlignment="1" applyFont="1">
      <alignment shrinkToFit="0" wrapText="1"/>
    </xf>
    <xf borderId="0" fillId="0" fontId="40" numFmtId="49" xfId="0" applyAlignment="1" applyFont="1" applyNumberFormat="1">
      <alignment shrinkToFit="0" vertical="center" wrapText="1"/>
    </xf>
    <xf borderId="0" fillId="0" fontId="40" numFmtId="0" xfId="0" applyAlignment="1" applyFont="1">
      <alignment horizontal="center" shrinkToFit="0" vertical="bottom" wrapText="1"/>
    </xf>
    <xf borderId="0" fillId="0" fontId="40" numFmtId="49" xfId="0" applyAlignment="1" applyFont="1" applyNumberFormat="1">
      <alignment shrinkToFit="0" wrapText="1"/>
    </xf>
    <xf borderId="0" fillId="0" fontId="40" numFmtId="0" xfId="0" applyAlignment="1" applyFont="1">
      <alignment horizontal="center" shrinkToFit="0" vertical="center" wrapText="1"/>
    </xf>
    <xf borderId="0" fillId="0" fontId="104" numFmtId="0" xfId="0" applyFont="1"/>
    <xf borderId="2" fillId="0" fontId="40" numFmtId="0" xfId="0" applyAlignment="1" applyBorder="1" applyFont="1">
      <alignment horizontal="center" shrinkToFit="0" wrapText="1"/>
    </xf>
    <xf borderId="5" fillId="0" fontId="105" numFmtId="0" xfId="0" applyAlignment="1" applyBorder="1" applyFont="1">
      <alignment horizontal="center" shrinkToFit="0" vertical="center" wrapText="1"/>
    </xf>
    <xf borderId="0" fillId="0" fontId="40" numFmtId="0" xfId="0" applyAlignment="1" applyFont="1">
      <alignment horizontal="right" shrinkToFit="0" wrapText="1"/>
    </xf>
    <xf borderId="2" fillId="0" fontId="104" numFmtId="0" xfId="0" applyBorder="1" applyFont="1"/>
    <xf borderId="2" fillId="0" fontId="40" numFmtId="0" xfId="0" applyAlignment="1" applyBorder="1" applyFont="1">
      <alignment horizontal="center" shrinkToFit="0" vertical="center" wrapText="1"/>
    </xf>
    <xf borderId="0" fillId="9" fontId="106" numFmtId="0" xfId="0" applyAlignment="1" applyFill="1" applyFont="1">
      <alignment horizontal="center" readingOrder="0" shrinkToFit="0" vertical="center" wrapText="1"/>
    </xf>
    <xf borderId="70" fillId="3" fontId="40" numFmtId="0" xfId="0" applyAlignment="1" applyBorder="1" applyFont="1">
      <alignment horizontal="center" shrinkToFit="0" vertical="center" wrapText="0"/>
    </xf>
    <xf borderId="5" fillId="3" fontId="6" numFmtId="0" xfId="0" applyBorder="1" applyFont="1"/>
    <xf borderId="5" fillId="3" fontId="40" numFmtId="0" xfId="0" applyAlignment="1" applyBorder="1" applyFont="1">
      <alignment horizontal="center" shrinkToFit="0" vertical="center" wrapText="0"/>
    </xf>
    <xf borderId="71" fillId="3" fontId="6" numFmtId="0" xfId="0" applyBorder="1" applyFont="1"/>
    <xf borderId="72" fillId="3" fontId="6" numFmtId="0" xfId="0" applyBorder="1" applyFont="1"/>
    <xf borderId="6" fillId="3" fontId="6" numFmtId="0" xfId="0" applyBorder="1" applyFont="1"/>
    <xf borderId="73" fillId="3" fontId="6" numFmtId="0" xfId="0" applyBorder="1" applyFont="1"/>
    <xf borderId="2" fillId="2" fontId="40" numFmtId="0" xfId="0" applyAlignment="1" applyBorder="1" applyFont="1">
      <alignment horizontal="center" shrinkToFit="0" vertical="center" wrapText="1"/>
    </xf>
    <xf borderId="0" fillId="2" fontId="40" numFmtId="0" xfId="0" applyAlignment="1" applyFont="1">
      <alignment horizontal="center" shrinkToFit="0" vertical="center" wrapText="1"/>
    </xf>
    <xf borderId="0" fillId="2" fontId="38" numFmtId="176" xfId="0" applyAlignment="1" applyFont="1" applyNumberFormat="1">
      <alignment horizontal="center" shrinkToFit="0" vertical="center" wrapText="1"/>
    </xf>
    <xf borderId="3" fillId="2" fontId="6" numFmtId="0" xfId="0" applyBorder="1" applyFont="1"/>
    <xf borderId="2" fillId="3" fontId="40" numFmtId="0" xfId="0" applyAlignment="1" applyBorder="1" applyFont="1">
      <alignment horizontal="center" shrinkToFit="0" vertical="center" wrapText="1"/>
    </xf>
    <xf borderId="0" fillId="3" fontId="40" numFmtId="0" xfId="0" applyAlignment="1" applyFont="1">
      <alignment horizontal="center" shrinkToFit="0" vertical="center" wrapText="1"/>
    </xf>
    <xf borderId="0" fillId="3" fontId="38" numFmtId="176" xfId="0" applyAlignment="1" applyFont="1" applyNumberFormat="1">
      <alignment horizontal="center" shrinkToFit="0" vertical="center" wrapText="1"/>
    </xf>
    <xf borderId="3" fillId="3" fontId="6" numFmtId="0" xfId="0" applyBorder="1" applyFont="1"/>
    <xf borderId="0" fillId="2" fontId="40" numFmtId="0" xfId="0" applyAlignment="1" applyFont="1">
      <alignment horizontal="center" readingOrder="0" shrinkToFit="0" vertical="center" wrapText="1"/>
    </xf>
    <xf borderId="0" fillId="3" fontId="40" numFmtId="0" xfId="0" applyAlignment="1" applyFont="1">
      <alignment horizontal="center" readingOrder="0" shrinkToFit="0" vertical="center" wrapText="1"/>
    </xf>
    <xf borderId="2" fillId="2" fontId="40" numFmtId="0" xfId="0" applyAlignment="1" applyBorder="1" applyFont="1">
      <alignment horizontal="center" readingOrder="0" shrinkToFit="0" vertical="center" wrapText="1"/>
    </xf>
    <xf borderId="0" fillId="2" fontId="38" numFmtId="176" xfId="0" applyAlignment="1" applyFont="1" applyNumberFormat="1">
      <alignment horizontal="center" readingOrder="0" shrinkToFit="0" vertical="center" wrapText="1"/>
    </xf>
    <xf borderId="2" fillId="3" fontId="40" numFmtId="0" xfId="0" applyAlignment="1" applyBorder="1" applyFont="1">
      <alignment horizontal="center" readingOrder="0" shrinkToFit="0" vertical="center" wrapText="1"/>
    </xf>
    <xf borderId="2" fillId="0" fontId="40" numFmtId="0" xfId="0" applyBorder="1" applyFont="1"/>
    <xf borderId="70" fillId="3" fontId="40" numFmtId="0" xfId="0" applyAlignment="1" applyBorder="1" applyFont="1">
      <alignment horizontal="center" shrinkToFit="0" vertical="center" wrapText="1"/>
    </xf>
    <xf borderId="5" fillId="3" fontId="40" numFmtId="0" xfId="0" applyAlignment="1" applyBorder="1" applyFont="1">
      <alignment horizontal="center" shrinkToFit="0" vertical="center" wrapText="1"/>
    </xf>
    <xf borderId="2" fillId="3" fontId="1" numFmtId="0" xfId="0" applyBorder="1" applyFont="1"/>
    <xf borderId="0" fillId="3" fontId="1" numFmtId="0" xfId="0" applyFont="1"/>
    <xf borderId="3" fillId="3" fontId="1" numFmtId="0" xfId="0" applyBorder="1" applyFont="1"/>
    <xf borderId="2" fillId="2" fontId="1" numFmtId="0" xfId="0" applyBorder="1" applyFont="1"/>
    <xf borderId="0" fillId="2" fontId="1" numFmtId="0" xfId="0" applyFont="1"/>
    <xf borderId="3" fillId="2" fontId="1" numFmtId="0" xfId="0" applyBorder="1" applyFont="1"/>
    <xf borderId="2" fillId="0" fontId="40" numFmtId="0" xfId="0" applyAlignment="1" applyBorder="1" applyFont="1">
      <alignment horizontal="center" readingOrder="0" shrinkToFit="0" vertical="center" wrapText="1"/>
    </xf>
    <xf borderId="5" fillId="3" fontId="40" numFmtId="0" xfId="0" applyAlignment="1" applyBorder="1" applyFont="1">
      <alignment horizontal="center" vertical="center"/>
    </xf>
    <xf borderId="5" fillId="3" fontId="40" numFmtId="0" xfId="0" applyAlignment="1" applyBorder="1" applyFont="1">
      <alignment horizontal="center" readingOrder="0" shrinkToFit="0" vertical="center" wrapText="1"/>
    </xf>
    <xf borderId="0" fillId="0" fontId="104" numFmtId="0" xfId="0" applyAlignment="1" applyFont="1">
      <alignment horizontal="center" shrinkToFit="0" vertical="center" wrapText="1"/>
    </xf>
    <xf borderId="5" fillId="2" fontId="40" numFmtId="0" xfId="0" applyAlignment="1" applyBorder="1" applyFont="1">
      <alignment horizontal="center" shrinkToFit="0" wrapText="1"/>
    </xf>
    <xf borderId="5" fillId="2" fontId="6" numFmtId="0" xfId="0" applyBorder="1" applyFont="1"/>
    <xf borderId="0" fillId="3" fontId="40" numFmtId="0" xfId="0" applyAlignment="1" applyFont="1">
      <alignment horizontal="center" shrinkToFit="0" wrapText="1"/>
    </xf>
    <xf borderId="0" fillId="2" fontId="40" numFmtId="0" xfId="0" applyAlignment="1" applyFont="1">
      <alignment horizontal="center" shrinkToFit="0" wrapText="1"/>
    </xf>
    <xf borderId="0" fillId="3" fontId="40" numFmtId="0" xfId="0" applyAlignment="1" applyFont="1">
      <alignment horizontal="center" readingOrder="0" shrinkToFit="0" wrapText="1"/>
    </xf>
    <xf borderId="0" fillId="2" fontId="40" numFmtId="0" xfId="0" applyAlignment="1" applyFont="1">
      <alignment horizontal="center" readingOrder="0" shrinkToFit="0" wrapText="1"/>
    </xf>
    <xf borderId="0" fillId="3" fontId="40" numFmtId="171" xfId="0" applyAlignment="1" applyFont="1" applyNumberFormat="1">
      <alignment horizontal="center" shrinkToFit="0" vertical="center" wrapText="1"/>
    </xf>
    <xf borderId="0" fillId="2" fontId="40" numFmtId="171" xfId="0" applyAlignment="1" applyFont="1" applyNumberFormat="1">
      <alignment horizontal="center" shrinkToFit="0" vertical="center" wrapText="1"/>
    </xf>
    <xf borderId="0" fillId="0" fontId="1" numFmtId="0" xfId="0" applyAlignment="1" applyFont="1">
      <alignment readingOrder="0"/>
    </xf>
  </cellXfs>
  <cellStyles count="1">
    <cellStyle xfId="0" name="Normal" builtinId="0"/>
  </cellStyles>
  <dxfs count="44">
    <dxf>
      <font>
        <color rgb="FFCC0000"/>
      </font>
      <fill>
        <patternFill patternType="none"/>
      </fill>
      <border/>
    </dxf>
    <dxf>
      <font>
        <color rgb="FF990000"/>
      </font>
      <fill>
        <patternFill patternType="none"/>
      </fill>
      <border/>
    </dxf>
    <dxf>
      <font>
        <color rgb="FF660000"/>
      </font>
      <fill>
        <patternFill patternType="none"/>
      </fill>
      <border/>
    </dxf>
    <dxf>
      <font>
        <i/>
        <color rgb="FF980000"/>
      </font>
      <fill>
        <patternFill patternType="solid">
          <fgColor rgb="FFF4C7C3"/>
          <bgColor rgb="FFF4C7C3"/>
        </patternFill>
      </fill>
      <border/>
    </dxf>
    <dxf>
      <font>
        <color rgb="FFE69138"/>
      </font>
      <fill>
        <patternFill patternType="none"/>
      </fill>
      <border/>
    </dxf>
    <dxf>
      <font>
        <color rgb="FFBF9000"/>
      </font>
      <fill>
        <patternFill patternType="none"/>
      </fill>
      <border/>
    </dxf>
    <dxf>
      <font>
        <color rgb="FF38761D"/>
      </font>
      <fill>
        <patternFill patternType="none"/>
      </fill>
      <border/>
    </dxf>
    <dxf>
      <font>
        <color rgb="FF0B959D"/>
      </font>
      <fill>
        <patternFill patternType="none"/>
      </fill>
      <border/>
    </dxf>
    <dxf>
      <font>
        <color rgb="FF1C4587"/>
      </font>
      <fill>
        <patternFill patternType="none"/>
      </fill>
      <border/>
    </dxf>
    <dxf>
      <font>
        <color rgb="FF53149F"/>
      </font>
      <fill>
        <patternFill patternType="none"/>
      </fill>
      <border/>
    </dxf>
    <dxf>
      <font>
        <color rgb="FF9E137F"/>
      </font>
      <fill>
        <patternFill patternType="none"/>
      </fill>
      <border/>
    </dxf>
    <dxf>
      <font>
        <color rgb="FFB45F06"/>
      </font>
      <fill>
        <patternFill patternType="none"/>
      </fill>
      <border/>
    </dxf>
    <dxf>
      <font>
        <color rgb="FF999999"/>
      </font>
      <fill>
        <patternFill patternType="none"/>
      </fill>
      <border/>
    </dxf>
    <dxf>
      <font>
        <color rgb="FFCCCCCC"/>
      </font>
      <fill>
        <patternFill patternType="none"/>
      </fill>
      <border/>
    </dxf>
    <dxf>
      <font>
        <color rgb="FF0B8043"/>
      </font>
      <fill>
        <patternFill patternType="none"/>
      </fill>
      <border/>
    </dxf>
    <dxf>
      <font>
        <b/>
        <color rgb="FF660000"/>
      </font>
      <fill>
        <patternFill patternType="solid">
          <fgColor rgb="FFF4C7C3"/>
          <bgColor rgb="FFF4C7C3"/>
        </patternFill>
      </fill>
      <border/>
    </dxf>
    <dxf>
      <font>
        <color rgb="FFC53929"/>
      </font>
      <fill>
        <patternFill patternType="none"/>
      </fill>
      <border/>
    </dxf>
    <dxf>
      <font>
        <color rgb="FFB28804"/>
      </font>
      <fill>
        <patternFill patternType="none"/>
      </fill>
      <border/>
    </dxf>
    <dxf>
      <font>
        <color rgb="FF274E13"/>
      </font>
      <fill>
        <patternFill patternType="none"/>
      </fill>
      <border/>
    </dxf>
    <dxf>
      <font>
        <u/>
        <color rgb="FF9556E0"/>
      </font>
      <fill>
        <patternFill patternType="none"/>
      </fill>
      <border/>
    </dxf>
    <dxf>
      <font>
        <u/>
        <color rgb="FFD58D41"/>
      </font>
      <fill>
        <patternFill patternType="none"/>
      </fill>
      <border/>
    </dxf>
    <dxf>
      <font>
        <u/>
        <color rgb="FF4A86E8"/>
      </font>
      <fill>
        <patternFill patternType="none"/>
      </fill>
      <border/>
    </dxf>
    <dxf>
      <font>
        <u/>
        <color rgb="FFC136A1"/>
      </font>
      <fill>
        <patternFill patternType="none"/>
      </fill>
      <border/>
    </dxf>
    <dxf>
      <font>
        <color rgb="FF980000"/>
      </font>
      <fill>
        <patternFill patternType="none"/>
      </fill>
      <border/>
    </dxf>
    <dxf>
      <font/>
      <fill>
        <patternFill patternType="solid">
          <fgColor rgb="FF00FF00"/>
          <bgColor rgb="FF00FF00"/>
        </patternFill>
      </fill>
      <border/>
    </dxf>
    <dxf>
      <font/>
      <fill>
        <patternFill patternType="solid">
          <fgColor rgb="FFC9DAF8"/>
          <bgColor rgb="FFC9DAF8"/>
        </patternFill>
      </fill>
      <border/>
    </dxf>
    <dxf>
      <font>
        <color rgb="FF000000"/>
      </font>
      <fill>
        <patternFill patternType="solid">
          <fgColor rgb="FFFFF2CC"/>
          <bgColor rgb="FFFFF2CC"/>
        </patternFill>
      </fill>
      <border/>
    </dxf>
    <dxf>
      <font/>
      <fill>
        <patternFill patternType="solid">
          <fgColor rgb="FFFFF2CC"/>
          <bgColor rgb="FFFFF2CC"/>
        </patternFill>
      </fill>
      <border/>
    </dxf>
    <dxf>
      <font/>
      <fill>
        <patternFill patternType="solid">
          <fgColor rgb="FFF3F3F3"/>
          <bgColor rgb="FFF3F3F3"/>
        </patternFill>
      </fill>
      <border/>
    </dxf>
    <dxf>
      <font>
        <color rgb="FFF1C232"/>
      </font>
      <fill>
        <patternFill patternType="none"/>
      </fill>
      <border/>
    </dxf>
    <dxf>
      <font>
        <color rgb="FF6AA84F"/>
      </font>
      <fill>
        <patternFill patternType="none"/>
      </fill>
      <border/>
    </dxf>
    <dxf>
      <font>
        <color rgb="FF29B3BB"/>
      </font>
      <fill>
        <patternFill patternType="none"/>
      </fill>
      <border/>
    </dxf>
    <dxf>
      <font>
        <color rgb="FF3C78D8"/>
      </font>
      <fill>
        <patternFill patternType="none"/>
      </fill>
      <border/>
    </dxf>
    <dxf>
      <font>
        <color rgb="FF7636C2"/>
      </font>
      <fill>
        <patternFill patternType="none"/>
      </fill>
      <border/>
    </dxf>
    <dxf>
      <font>
        <color rgb="FFC136A1"/>
      </font>
      <fill>
        <patternFill patternType="none"/>
      </fill>
      <border/>
    </dxf>
    <dxf>
      <font>
        <color rgb="FFFFFFFF"/>
      </font>
      <fill>
        <patternFill patternType="none"/>
      </fill>
      <border/>
    </dxf>
    <dxf>
      <font>
        <color rgb="FFCC4125"/>
      </font>
      <fill>
        <patternFill patternType="none"/>
      </fill>
      <border/>
    </dxf>
    <dxf>
      <font>
        <color rgb="FF6FA8DC"/>
      </font>
      <fill>
        <patternFill patternType="none"/>
      </fill>
      <border/>
    </dxf>
    <dxf>
      <font>
        <color rgb="FF3D85C6"/>
      </font>
      <fill>
        <patternFill patternType="none"/>
      </fill>
      <border/>
    </dxf>
    <dxf>
      <font>
        <color rgb="FFD9D9D9"/>
      </font>
      <fill>
        <patternFill patternType="none"/>
      </fill>
      <border/>
    </dxf>
    <dxf>
      <font>
        <color rgb="FFB7B7B7"/>
      </font>
      <fill>
        <patternFill patternType="none"/>
      </fill>
      <border/>
    </dxf>
    <dxf>
      <font>
        <color rgb="FF666666"/>
      </font>
      <fill>
        <patternFill patternType="none"/>
      </fill>
      <border/>
    </dxf>
    <dxf>
      <font/>
      <fill>
        <patternFill patternType="none"/>
      </fill>
      <border/>
    </dxf>
    <dxf>
      <font>
        <color rgb="FFC53929"/>
      </font>
      <fill>
        <patternFill patternType="solid">
          <fgColor rgb="FFFFFF00"/>
          <bgColor rgb="FFFFFF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4" Type="http://schemas.openxmlformats.org/officeDocument/2006/relationships/worksheet" Target="worksheets/sheet10.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i.imgur.com/iDgWYL1.png" TargetMode="External"/><Relationship Id="rId20" Type="http://schemas.openxmlformats.org/officeDocument/2006/relationships/hyperlink" Target="https://i.imgur.com/UI4mejB.png" TargetMode="External"/><Relationship Id="rId42" Type="http://schemas.openxmlformats.org/officeDocument/2006/relationships/drawing" Target="../drawings/drawing1.xml"/><Relationship Id="rId41" Type="http://schemas.openxmlformats.org/officeDocument/2006/relationships/hyperlink" Target="https://i.imgur.com/G8kk6zf.png" TargetMode="External"/><Relationship Id="rId22" Type="http://schemas.openxmlformats.org/officeDocument/2006/relationships/hyperlink" Target="https://i.imgur.com/lqUQ6YL.png" TargetMode="External"/><Relationship Id="rId21" Type="http://schemas.openxmlformats.org/officeDocument/2006/relationships/hyperlink" Target="https://i.imgur.com/G8kk6zf.png" TargetMode="External"/><Relationship Id="rId43" Type="http://schemas.openxmlformats.org/officeDocument/2006/relationships/vmlDrawing" Target="../drawings/vmlDrawing1.vml"/><Relationship Id="rId24" Type="http://schemas.openxmlformats.org/officeDocument/2006/relationships/hyperlink" Target="https://i.imgur.com/uSFG6vd.png" TargetMode="External"/><Relationship Id="rId23" Type="http://schemas.openxmlformats.org/officeDocument/2006/relationships/hyperlink" Target="https://i.imgur.com/G8kk6zf.png" TargetMode="External"/><Relationship Id="rId1" Type="http://schemas.openxmlformats.org/officeDocument/2006/relationships/comments" Target="../comments1.xml"/><Relationship Id="rId2" Type="http://schemas.openxmlformats.org/officeDocument/2006/relationships/hyperlink" Target="http://i.imgur.com/3GVZzam.png" TargetMode="External"/><Relationship Id="rId3" Type="http://schemas.openxmlformats.org/officeDocument/2006/relationships/hyperlink" Target="http://i.imgur.com/miU7se3.png" TargetMode="External"/><Relationship Id="rId4" Type="http://schemas.openxmlformats.org/officeDocument/2006/relationships/hyperlink" Target="http://i.imgur.com/Yw2rhH6.png" TargetMode="External"/><Relationship Id="rId9" Type="http://schemas.openxmlformats.org/officeDocument/2006/relationships/hyperlink" Target="https://i.imgur.com/G8kk6zf.png" TargetMode="External"/><Relationship Id="rId26" Type="http://schemas.openxmlformats.org/officeDocument/2006/relationships/hyperlink" Target="https://i.imgur.com/x6BHYTe.png" TargetMode="External"/><Relationship Id="rId25" Type="http://schemas.openxmlformats.org/officeDocument/2006/relationships/hyperlink" Target="https://i.imgur.com/G8kk6zf.png" TargetMode="External"/><Relationship Id="rId28" Type="http://schemas.openxmlformats.org/officeDocument/2006/relationships/hyperlink" Target="https://i.imgur.com/3llLqBB.png" TargetMode="External"/><Relationship Id="rId27" Type="http://schemas.openxmlformats.org/officeDocument/2006/relationships/hyperlink" Target="https://i.imgur.com/G8kk6zf.png" TargetMode="External"/><Relationship Id="rId5" Type="http://schemas.openxmlformats.org/officeDocument/2006/relationships/hyperlink" Target="https://i.imgur.com/G8kk6zf.png" TargetMode="External"/><Relationship Id="rId6" Type="http://schemas.openxmlformats.org/officeDocument/2006/relationships/hyperlink" Target="http://i.imgur.com/Pnzh0Lq.png" TargetMode="External"/><Relationship Id="rId29" Type="http://schemas.openxmlformats.org/officeDocument/2006/relationships/hyperlink" Target="https://i.imgur.com/G8kk6zf.png" TargetMode="External"/><Relationship Id="rId7" Type="http://schemas.openxmlformats.org/officeDocument/2006/relationships/hyperlink" Target="https://i.imgur.com/G8kk6zf.png" TargetMode="External"/><Relationship Id="rId8" Type="http://schemas.openxmlformats.org/officeDocument/2006/relationships/hyperlink" Target="http://i.imgur.com/4GdhXW2.png" TargetMode="External"/><Relationship Id="rId31" Type="http://schemas.openxmlformats.org/officeDocument/2006/relationships/hyperlink" Target="https://i.imgur.com/G8kk6zf.png" TargetMode="External"/><Relationship Id="rId30" Type="http://schemas.openxmlformats.org/officeDocument/2006/relationships/hyperlink" Target="https://i.imgur.com/ssrZYbl.png" TargetMode="External"/><Relationship Id="rId11" Type="http://schemas.openxmlformats.org/officeDocument/2006/relationships/hyperlink" Target="https://i.imgur.com/G8kk6zf.png" TargetMode="External"/><Relationship Id="rId33" Type="http://schemas.openxmlformats.org/officeDocument/2006/relationships/hyperlink" Target="https://i.imgur.com/G8kk6zf.png" TargetMode="External"/><Relationship Id="rId10" Type="http://schemas.openxmlformats.org/officeDocument/2006/relationships/hyperlink" Target="https://i.imgur.com/tVDSt3v.png" TargetMode="External"/><Relationship Id="rId32" Type="http://schemas.openxmlformats.org/officeDocument/2006/relationships/hyperlink" Target="https://i.imgur.com/QBhqRiG.png" TargetMode="External"/><Relationship Id="rId13" Type="http://schemas.openxmlformats.org/officeDocument/2006/relationships/hyperlink" Target="https://i.imgur.com/G8kk6zf.png" TargetMode="External"/><Relationship Id="rId35" Type="http://schemas.openxmlformats.org/officeDocument/2006/relationships/hyperlink" Target="https://i.imgur.com/G8kk6zf.png" TargetMode="External"/><Relationship Id="rId12" Type="http://schemas.openxmlformats.org/officeDocument/2006/relationships/hyperlink" Target="https://i.imgur.com/gjtfTEm.png" TargetMode="External"/><Relationship Id="rId34" Type="http://schemas.openxmlformats.org/officeDocument/2006/relationships/hyperlink" Target="https://i.imgur.com/EOiSGxi.png" TargetMode="External"/><Relationship Id="rId15" Type="http://schemas.openxmlformats.org/officeDocument/2006/relationships/hyperlink" Target="https://i.imgur.com/G8kk6zf.png" TargetMode="External"/><Relationship Id="rId37" Type="http://schemas.openxmlformats.org/officeDocument/2006/relationships/hyperlink" Target="https://i.imgur.com/G8kk6zf.png" TargetMode="External"/><Relationship Id="rId14" Type="http://schemas.openxmlformats.org/officeDocument/2006/relationships/hyperlink" Target="https://i.imgur.com/5HYYXoz.png" TargetMode="External"/><Relationship Id="rId36" Type="http://schemas.openxmlformats.org/officeDocument/2006/relationships/hyperlink" Target="https://i.imgur.com/VyFvlcw.png" TargetMode="External"/><Relationship Id="rId17" Type="http://schemas.openxmlformats.org/officeDocument/2006/relationships/hyperlink" Target="https://i.imgur.com/G8kk6zf.png" TargetMode="External"/><Relationship Id="rId39" Type="http://schemas.openxmlformats.org/officeDocument/2006/relationships/hyperlink" Target="https://i.imgur.com/G8kk6zf.png" TargetMode="External"/><Relationship Id="rId16" Type="http://schemas.openxmlformats.org/officeDocument/2006/relationships/hyperlink" Target="https://i.imgur.com/hOgeNi7.png" TargetMode="External"/><Relationship Id="rId38" Type="http://schemas.openxmlformats.org/officeDocument/2006/relationships/hyperlink" Target="https://i.imgur.com/Nh6zWQZ.png" TargetMode="External"/><Relationship Id="rId19" Type="http://schemas.openxmlformats.org/officeDocument/2006/relationships/hyperlink" Target="https://i.imgur.com/G8kk6zf.png" TargetMode="External"/><Relationship Id="rId18" Type="http://schemas.openxmlformats.org/officeDocument/2006/relationships/hyperlink" Target="https://i.imgur.com/5ZZQ7Jh.png" TargetMode="Externa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6.xml"/><Relationship Id="rId3"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7.xml"/><Relationship Id="rId3"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1" Type="http://schemas.openxmlformats.org/officeDocument/2006/relationships/comments" Target="../comments5.xml"/><Relationship Id="rId2" Type="http://schemas.openxmlformats.org/officeDocument/2006/relationships/drawing" Target="../drawings/drawing8.xml"/><Relationship Id="rId3" Type="http://schemas.openxmlformats.org/officeDocument/2006/relationships/vmlDrawing" Target="../drawings/vmlDrawing5.vml"/></Relationships>
</file>

<file path=xl/worksheets/_rels/sheet9.xml.rels><?xml version="1.0" encoding="UTF-8" standalone="yes"?><Relationships xmlns="http://schemas.openxmlformats.org/package/2006/relationships"><Relationship Id="rId1" Type="http://schemas.openxmlformats.org/officeDocument/2006/relationships/comments" Target="../comments6.xml"/><Relationship Id="rId2" Type="http://schemas.openxmlformats.org/officeDocument/2006/relationships/drawing" Target="../drawings/drawing9.xml"/><Relationship Id="rId3" Type="http://schemas.openxmlformats.org/officeDocument/2006/relationships/vmlDrawing" Target="../drawings/vmlDrawing6.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 customWidth="1" hidden="1" min="43" max="55" width="3.0"/>
  </cols>
  <sheetData>
    <row r="1" ht="1.5" customHeight="1">
      <c r="A1" s="1" t="s">
        <v>0</v>
      </c>
      <c r="AQ1" s="2"/>
      <c r="AS1" s="3"/>
      <c r="AT1" s="3"/>
      <c r="AU1" s="3"/>
      <c r="AV1" s="3"/>
      <c r="AW1" s="3"/>
      <c r="AX1" s="3"/>
      <c r="AY1" s="3"/>
      <c r="AZ1" s="3"/>
      <c r="BA1" s="3"/>
      <c r="BB1" s="3"/>
      <c r="BC1" s="3"/>
    </row>
    <row r="2" ht="15.75" customHeight="1">
      <c r="A2" s="4" t="str">
        <f>if(C174="",if(isnumber(find("Zim",C6)),image("https://i.imgur.com/T5OD9a5.png",2),if(and(AV16&lt;&gt;"",countif(AQ155:AQ180,AV16)),image(vlookup(AV16,AQ155:AS180,2,false),2),image("http://i.imgur.com/3GVZzam.png",2))),image(vlookup(C174,AQ155:AS180,2,false),2))</f>
        <v/>
      </c>
      <c r="S2" s="5"/>
      <c r="T2" s="6" t="str">
        <f>if(and(name="",classAndLevel="",race="",level="",C16=0,C21=0,C26=0,C31=0,C36=0,C41=0),"Click [File] then [Make a copy...] to use the sheet for yourself.",if(and(sum(AT6:AT15)&lt;&gt;level,classAndLevel&lt;&gt;""),"Total class levels must equal character level",""))</f>
        <v/>
      </c>
      <c r="AN2" s="5"/>
      <c r="AO2" s="5"/>
      <c r="AP2" s="5"/>
      <c r="AQ2" s="7" t="s">
        <v>1</v>
      </c>
      <c r="AR2" s="8"/>
      <c r="AS2" s="8"/>
      <c r="AT2" s="8"/>
      <c r="AU2" s="8"/>
      <c r="AV2" s="8"/>
      <c r="AW2" s="8"/>
      <c r="AX2" s="3"/>
      <c r="AY2" s="3"/>
      <c r="AZ2" s="3"/>
      <c r="BA2" s="3"/>
      <c r="BB2" s="3"/>
      <c r="BC2" s="3"/>
    </row>
    <row r="3" ht="15.75" customHeight="1">
      <c r="S3" s="5" t="str">
        <f>if(C174="Magic",IMAGE("http://i.imgur.com/2jwsXWa.png",2),"")</f>
        <v/>
      </c>
      <c r="T3" s="9" t="str">
        <f>if(and(name="",classAndLevel="",race="",level="",C16=0,C21=0,C26=0,C31=0,C36=0,C41=0),"Check [?] for help.  And read all the notes!",if(and(sum(AT6:AT15)&lt;&gt;level,classAndLevel&lt;&gt;""),"If you are using a homebrew class, enter its details on the Class Info page.",""))</f>
        <v/>
      </c>
      <c r="AN3" s="5"/>
      <c r="AO3" s="5"/>
      <c r="AP3" s="5"/>
      <c r="AQ3" s="3"/>
      <c r="AR3" s="3"/>
      <c r="AS3" s="3"/>
      <c r="AT3" s="3"/>
      <c r="AU3" s="3"/>
      <c r="AV3" s="3"/>
      <c r="AW3" s="3"/>
      <c r="AX3" s="3"/>
      <c r="AY3" s="3"/>
      <c r="AZ3" s="3"/>
      <c r="BA3" s="3"/>
      <c r="BB3" s="3"/>
      <c r="BC3" s="3"/>
    </row>
    <row r="4" ht="15.75" customHeight="1">
      <c r="S4" s="10" t="str">
        <f>IMAGE("https://i.imgur.com/OlUFGxq.png",2)</f>
        <v/>
      </c>
      <c r="AN4" s="11"/>
      <c r="AO4" s="12" t="str">
        <f>IMAGE("http://i.imgur.com/nWCUyCa.png",2)</f>
        <v/>
      </c>
      <c r="AP4" s="12"/>
      <c r="AQ4" s="13" t="s">
        <v>2</v>
      </c>
      <c r="AR4" s="3"/>
      <c r="AS4" s="3"/>
      <c r="AT4" s="3"/>
      <c r="AU4" s="3"/>
      <c r="AV4" s="3"/>
      <c r="AW4" s="3"/>
      <c r="AX4" s="3"/>
      <c r="AY4" s="3"/>
      <c r="AZ4" s="3"/>
      <c r="BA4" s="3"/>
      <c r="BB4" s="3"/>
      <c r="BC4" s="3"/>
    </row>
    <row r="5" ht="15.75" customHeight="1">
      <c r="S5" s="14"/>
      <c r="T5" s="15"/>
      <c r="U5" s="16"/>
      <c r="V5" s="16"/>
      <c r="W5" s="16"/>
      <c r="X5" s="16"/>
      <c r="Y5" s="16"/>
      <c r="Z5" s="16"/>
      <c r="AA5" s="16"/>
      <c r="AB5" s="16"/>
      <c r="AC5" s="16"/>
      <c r="AD5" s="16"/>
      <c r="AE5" s="17" t="s">
        <v>3</v>
      </c>
      <c r="AF5" s="16"/>
      <c r="AG5" s="16"/>
      <c r="AH5" s="16"/>
      <c r="AI5" s="16"/>
      <c r="AJ5" s="16"/>
      <c r="AK5" s="4" t="str">
        <f>if(AL6&lt;5,IMAGE("http://i.imgur.com/zDHOU0r.png",2),if(AL6&lt;11,IMAGE("http://i.imgur.com/0jIT5AA.png",2),if(AL6&lt;17,IMAGE("http://i.imgur.com/qN7jDhM.png",2),IMAGE("http://i.imgur.com/brqhftZ.png",2))))</f>
        <v/>
      </c>
      <c r="AL5" s="18" t="s">
        <v>4</v>
      </c>
      <c r="AN5" s="19" t="str">
        <f>if(AL6&lt;5,IMAGE("http://i.imgur.com/stPe4fo.png",2),if(AL6&lt;11,IMAGE("http://i.imgur.com/PVGeU3d.png",2),if(AL6&lt;17,IMAGE("http://i.imgur.com/mnwcuFl.png",2),IMAGE("http://i.imgur.com/TfiOReG.png",2))))</f>
        <v/>
      </c>
      <c r="AP5" s="12"/>
      <c r="AQ5" s="3" t="str">
        <f>IFERROR(__xludf.DUMMYFUNCTION("iferror(array_constrain(split(textjoin(""~"",True,filter('Race Info'!$B$7:$AN180,'Race Info'!$B$7:$B180&lt;&gt;"""",lower('Race Info'!$B$7:$B180=$T$7))),""~""),1,11),"""")"),"Human")</f>
        <v>Human</v>
      </c>
      <c r="AR5" s="3" t="str">
        <f>IFERROR(__xludf.DUMMYFUNCTION("""COMPUTED_VALUE"""),"str +1, dex +1, con +1, int +1, wis +1, cha +1")</f>
        <v>str +1, dex +1, con +1, int +1, wis +1, cha +1</v>
      </c>
      <c r="AS5" s="3" t="str">
        <f>IFERROR(__xludf.DUMMYFUNCTION("""COMPUTED_VALUE"""),"-")</f>
        <v>-</v>
      </c>
      <c r="AT5" s="3">
        <f>IFERROR(__xludf.DUMMYFUNCTION("""COMPUTED_VALUE"""),30.0)</f>
        <v>30</v>
      </c>
      <c r="AU5" s="3" t="str">
        <f>IFERROR(__xludf.DUMMYFUNCTION("""COMPUTED_VALUE"""),"-")</f>
        <v>-</v>
      </c>
      <c r="AV5" s="3" t="str">
        <f>IFERROR(__xludf.DUMMYFUNCTION("""COMPUTED_VALUE"""),"-")</f>
        <v>-</v>
      </c>
      <c r="AW5" s="3" t="str">
        <f>IFERROR(__xludf.DUMMYFUNCTION("""COMPUTED_VALUE"""),"Common, 1 extra")</f>
        <v>Common, 1 extra</v>
      </c>
      <c r="AX5" s="3" t="str">
        <f>IFERROR(__xludf.DUMMYFUNCTION("""COMPUTED_VALUE"""),"-")</f>
        <v>-</v>
      </c>
      <c r="AY5" s="3" t="str">
        <f>IFERROR(__xludf.DUMMYFUNCTION("""COMPUTED_VALUE"""),"-")</f>
        <v>-</v>
      </c>
      <c r="AZ5" s="3" t="str">
        <f>IFERROR(__xludf.DUMMYFUNCTION("""COMPUTED_VALUE"""),"-")</f>
        <v>-</v>
      </c>
      <c r="BA5" s="3"/>
      <c r="BB5" s="3"/>
      <c r="BC5" s="3" t="str">
        <f>IFERROR(__xludf.DUMMYFUNCTION("if($T$5&lt;&gt;"""",array_constrain(iferror(filter(BA6:BA15,BA6:BA15&lt;&gt;"""",isnumber(find(""10"",BA6:BA15))),""10+dex""),1,1),"""")"),"")</f>
        <v/>
      </c>
    </row>
    <row r="6" ht="15.75" customHeight="1">
      <c r="B6" s="20"/>
      <c r="C6" s="21"/>
      <c r="R6" s="11"/>
      <c r="S6" s="22"/>
      <c r="T6" s="23" t="s">
        <v>5</v>
      </c>
      <c r="AE6" s="23" t="s">
        <v>6</v>
      </c>
      <c r="AL6" s="24" t="str">
        <f>if(AE7&lt;&gt;"",if(AE7&lt;300,1,if(AE7&lt;900,2,if(AE7&lt;2700,3,if(AE7&lt;6500,4,if(AE7&lt;14000,5,if(AE7&lt;23000,6,if(AE7&lt;34000,7,if(AE7&lt;48000,8,if(AE7&lt;64000,9,if(AE7&lt;85000,10,if(AE7&lt;100000,11,if(AE7&lt;120000,12,if(AE7&lt;140000,13,if(AE7&lt;165000,14,if(AE7&lt;195000,15,if(AE7&lt;225000,16,if(AE7&lt;265000,17,if(AE7&lt;305000,18,if(AE7&lt;355000,19,20))))))))))))))))))),"")</f>
        <v/>
      </c>
      <c r="AM6" s="25"/>
      <c r="AN6" s="11"/>
      <c r="AP6" s="12"/>
      <c r="AQ6" s="3" t="str">
        <f t="array" ref="AQ6:AQ15">iferror(vlookup(AR6:AR15,'Class Info'!B7:K180,10,false),"")</f>
        <v/>
      </c>
      <c r="AR6" s="2" t="str">
        <f>IFERROR(__xludf.DUMMYFUNCTION("iferror(transpose(unique(filter(split(proper($T$5),"" ""),iserror(find(split(proper($T$5),"" "")&amp;"" 0"",proper($T$5))),isnumber(find(proper(split($T$5,"" ""))&amp;""-"",proper(textjoin(""-"",True,'Class Info'!$B$7:$B180,""-""))))))),"""")"),"")</f>
        <v/>
      </c>
      <c r="AS6" s="7" t="str">
        <f>IFERROR(__xludf.DUMMYFUNCTION("if($AR6&lt;&gt;"""",iferror(array_constrain(filter('Class Info'!$E$7:$E180,'Class Info'!$B$7:$B180=$AR6,'Class Info'!$E$7:$E180&lt;&gt;"""",isnumber(find(proper('Class Info'!$E$7:$E180),proper($T$5)))),1,1),""-""),"""")"),"")</f>
        <v/>
      </c>
      <c r="AT6" s="3" t="str">
        <f>IFERROR(__xludf.DUMMYFUNCTION("if(and(AR6&lt;&gt;"""",isnumber(find(lower(AR6),lower($T$5)))),int(substitute(if(regexmatch(proper($T$5),proper(AR6)&amp;"" [0-9]+""),regexextract(proper($T$5),proper(AR6)&amp;"" [0-9]+""),level),proper(AR6)&amp;"" "","""")),"""")"),"")</f>
        <v/>
      </c>
      <c r="AU6" s="3" t="str">
        <f>IFERROR(__xludf.DUMMYFUNCTION("arrayformula(if(AT6:AT15,AT6:AT15*(int(regexextract(AQ6:AQ15,""[0-9]+""))/2+1
+if(vlookup(AR6:AR15,'Class Info'!B7:O180,14,false)&lt;&gt;""-"",vlookup(AR6:AR15,'Class Info'!B7:O180,14,false),0)
+if(vlookup(AS6:AS15,'Class Info'!E7:O180,11,false)&lt;&gt;""-"",vlookup("&amp;"AS6:AS15,'Class Info'!E7:O180,11,false),0))
+if(AV6:AV15&lt;&gt;"""",(int(regexextract(AQ6:AQ15,""[0-9]+""))/2-1),0),""""))"),"")</f>
        <v/>
      </c>
      <c r="AV6" s="3" t="str">
        <f>if(AR6&lt;&gt;"",
    vlookup(AR6,'Class Info'!B7:Q180,16,false)
    &amp;if(vlookup(AR6,'Class Info'!B7:X180,23,false)&lt;&gt;"-",", "&amp;vlookup(AR6,'Class Info'!B7:X180,23,false),""),
    ""
 )</f>
        <v/>
      </c>
      <c r="AW6" s="3" t="str">
        <f t="array" ref="AW6:AW15">iferror(vlookup(AR6:AR15,'Class Info'!B7:AB180,27,false)
&amp;if(vlookup(AS6:AS15,'Class Info'!E7:AB180,24,false)&lt;&gt;"-",if(AS6:AS15&lt;&gt;"-",", "&amp;vlookup(AS6:AS15,'Class Info'!E7:AB180,24,false),""),""),"")</f>
        <v/>
      </c>
      <c r="AX6" s="3" t="str">
        <f t="array" ref="AX6:AX15">iferror(if(vlookup(AR6:AR15,'Class Info'!B7:AG180,32,false)&lt;&gt;"-",vlookup(AR6:AR15,'Class Info'!B7:AG180,32,false),"")
&amp;if(vlookup(AS6:AS15,'Class Info'!E7:AG180,29,false)&lt;&gt;"-",if(AS6:AS15&lt;&gt;"-",vlookup(AS6:AS15,'Class Info'!E7:AG180,29,false),""),""),"")</f>
        <v/>
      </c>
      <c r="AY6" s="3" t="str">
        <f t="array" ref="AY6:AY15">iferror(if(vlookup(AR6:AR15,'Class Info'!B7:AJ180,35,false)&lt;&gt;"-",vlookup(AR6:AR15,'Class Info'!B7:AJ180,35,false),"")
&amp;if(AS6:AS15&lt;&gt;"-",if(vlookup(AS6:AS15,'Class Info'!E7:AJ180,32,false)&lt;&gt;"-",vlookup(AS6:AS15,'Class Info'!E7:AJ180,32,false),""),""),"")</f>
        <v/>
      </c>
      <c r="AZ6" s="3" t="str">
        <f t="array" ref="AZ6:AZ15">if(AR6:AR15&lt;&gt;"",int(iferror(if(vlookup(AR6:AR15,'Class Info'!B7:AM180,38,false)&lt;&gt;"-",vlookup(AR6:AR15,'Class Info'!B7:AM180,38,false),"")
&amp;if(vlookup(AS6:AS15,'Class Info'!E7:AM180,35,false)&lt;&gt;"-",vlookup(AS6:AS15,'Class Info'!E7:AM180,35,false),""),"")),"")</f>
        <v/>
      </c>
      <c r="BA6" s="3" t="str">
        <f t="array" ref="BA6:BA15">iferror(if(vlookup(AR6:AR15,'Class Info'!B7:I180,8,false)&lt;&gt;"-",if(vlookup(AR6:AR15,'Class Info'!B7:I180,8,false)&lt;&gt;"10+dex",vlookup(AR6:AR15,'Class Info'!B7:I180,8,false),""),"")
&amp;if(AS6:AS15&lt;&gt;"-",if(vlookup(AS6:AS15,'Class Info'!E7:I180,5,false)&lt;&gt;"-",vlookup(AS6:AS15,'Class Info'!E7:I180,5,false),""),""),"")</f>
        <v/>
      </c>
      <c r="BB6" s="3" t="str">
        <f t="array" ref="BB6:BB15">if(AR6:AR15&lt;&gt;"",if(vlookup(AR6:AR15,'Class Info'!B7:M180,12,false)&lt;&gt;"-",vlookup(AR6:AR15,'Class Info'!B7:M180,12,false),"")
&amp;if(vlookup(AS6:AS15,'Class Info'!E7:M180,9,false)&lt;&gt;"-",vlookup(AS6:AS15,'Class Info'!E7:M180,9,false),""),"")</f>
        <v/>
      </c>
      <c r="BC6" s="26"/>
    </row>
    <row r="7" ht="15.75" customHeight="1">
      <c r="B7" s="27"/>
      <c r="C7" s="27"/>
      <c r="R7" s="11"/>
      <c r="S7" s="22"/>
      <c r="T7" s="28" t="s">
        <v>7</v>
      </c>
      <c r="U7" s="16"/>
      <c r="V7" s="16"/>
      <c r="W7" s="16"/>
      <c r="X7" s="16"/>
      <c r="Y7" s="16"/>
      <c r="Z7" s="16"/>
      <c r="AA7" s="16"/>
      <c r="AB7" s="16"/>
      <c r="AC7" s="16"/>
      <c r="AD7" s="16"/>
      <c r="AE7" s="29"/>
      <c r="AF7" s="16"/>
      <c r="AG7" s="16"/>
      <c r="AH7" s="30" t="str">
        <f>if(AE7&lt;&gt;"",choose(AL6,300,900,2700,6500,14000,23000,34000,48000,64000,85000,100000,120000,140000,165000,195000,225000,265000,305000,355000,0),"")</f>
        <v/>
      </c>
      <c r="AI7" s="16"/>
      <c r="AJ7" s="16"/>
      <c r="AL7" s="31"/>
      <c r="AM7" s="31"/>
      <c r="AN7" s="11"/>
      <c r="AP7" s="12"/>
      <c r="AQ7" s="3" t="s">
        <v>8</v>
      </c>
      <c r="AR7" s="2"/>
      <c r="AS7" s="7" t="str">
        <f>IFERROR(__xludf.DUMMYFUNCTION("if($AR7&lt;&gt;"""",iferror(array_constrain(filter('Class Info'!$E$7:$E180,'Class Info'!$B$7:$B180=$AR7,'Class Info'!$E$7:$E180&lt;&gt;"""",isnumber(find(proper('Class Info'!$E$7:$E180),proper($T$5)))),1,1),""-""),"""")"),"")</f>
        <v/>
      </c>
      <c r="AT7" s="3" t="str">
        <f>IFERROR(__xludf.DUMMYFUNCTION("if(and(AR7&lt;&gt;"""",isnumber(find(lower(AR7),lower($T$5)))),int(substitute(if(regexmatch(proper($T$5),proper(AR7)&amp;"" [0-9]+""),regexextract(proper($T$5),proper(AR7)&amp;"" [0-9]+""),level),proper(AR7)&amp;"" "","""")),"""")"),"")</f>
        <v/>
      </c>
      <c r="AU7" s="3" t="str">
        <f>IFERROR(__xludf.DUMMYFUNCTION("""COMPUTED_VALUE"""),"")</f>
        <v/>
      </c>
      <c r="AV7" s="3"/>
      <c r="AW7" s="3" t="s">
        <v>8</v>
      </c>
      <c r="AX7" s="3" t="s">
        <v>8</v>
      </c>
      <c r="AY7" s="3" t="s">
        <v>8</v>
      </c>
      <c r="AZ7" s="3" t="s">
        <v>8</v>
      </c>
      <c r="BA7" s="3" t="s">
        <v>8</v>
      </c>
      <c r="BB7" s="3" t="s">
        <v>8</v>
      </c>
      <c r="BC7" s="3"/>
    </row>
    <row r="8" ht="15.75" customHeight="1">
      <c r="A8" s="4" t="str">
        <f>if(C174="",if(isnumber(find("Zim",C6)),image("https://i.imgur.com/G8kk6zf.png",2),if( and(AV16&lt;&gt;"",countif(AQ155:AQ180,AV16)),image("https://i.imgur.com/G8kk6zf.png",2),image("http://i.imgur.com/miU7se3.png",2))),image(vlookup(C174,AQ155:AS180,3,false),2))</f>
        <v/>
      </c>
      <c r="S8" s="14"/>
      <c r="T8" s="23" t="str">
        <f>if(and(T7&lt;&gt;"",AQ5=""),"To use a custom race, add it on the 'Race Info' tab.","RACE")</f>
        <v>RACE</v>
      </c>
      <c r="AE8" s="23" t="s">
        <v>9</v>
      </c>
      <c r="AH8" s="23" t="s">
        <v>10</v>
      </c>
      <c r="AL8" s="32"/>
      <c r="AN8" s="11"/>
      <c r="AP8" s="12"/>
      <c r="AQ8" s="3" t="s">
        <v>8</v>
      </c>
      <c r="AR8" s="2"/>
      <c r="AS8" s="7" t="str">
        <f>IFERROR(__xludf.DUMMYFUNCTION("if($AR8&lt;&gt;"""",iferror(array_constrain(filter('Class Info'!$E$7:$E180,'Class Info'!$B$7:$B180=$AR8,'Class Info'!$E$7:$E180&lt;&gt;"""",isnumber(find(proper('Class Info'!$E$7:$E180),proper($T$5)))),1,1),""-""),"""")"),"")</f>
        <v/>
      </c>
      <c r="AT8" s="3" t="str">
        <f>IFERROR(__xludf.DUMMYFUNCTION("if(and(AR8&lt;&gt;"""",isnumber(find(lower(AR8),lower($T$5)))),int(substitute(if(regexmatch(proper($T$5),proper(AR8)&amp;"" [0-9]+""),regexextract(proper($T$5),proper(AR8)&amp;"" [0-9]+""),level),proper(AR8)&amp;"" "","""")),"""")"),"")</f>
        <v/>
      </c>
      <c r="AU8" s="3" t="str">
        <f>IFERROR(__xludf.DUMMYFUNCTION("""COMPUTED_VALUE"""),"")</f>
        <v/>
      </c>
      <c r="AV8" s="3"/>
      <c r="AW8" s="3" t="s">
        <v>8</v>
      </c>
      <c r="AX8" s="3" t="s">
        <v>8</v>
      </c>
      <c r="AY8" s="3" t="s">
        <v>8</v>
      </c>
      <c r="AZ8" s="3" t="s">
        <v>8</v>
      </c>
      <c r="BA8" s="3" t="s">
        <v>8</v>
      </c>
      <c r="BB8" s="3" t="s">
        <v>8</v>
      </c>
      <c r="BC8" s="3"/>
    </row>
    <row r="9" ht="15.75" customHeight="1">
      <c r="S9" s="10" t="str">
        <f>IMAGE("https://i.imgur.com/6avJSbK.png",2)</f>
        <v/>
      </c>
      <c r="AN9" s="11"/>
      <c r="AO9" s="12"/>
      <c r="AP9" s="12"/>
      <c r="AQ9" s="3" t="s">
        <v>8</v>
      </c>
      <c r="AR9" s="2"/>
      <c r="AS9" s="7" t="str">
        <f>IFERROR(__xludf.DUMMYFUNCTION("if($AR9&lt;&gt;"""",iferror(array_constrain(filter('Class Info'!$E$7:$E180,'Class Info'!$B$7:$B180=$AR9,'Class Info'!$E$7:$E180&lt;&gt;"""",isnumber(find(proper('Class Info'!$E$7:$E180),proper($T$5)))),1,1),""-""),"""")"),"")</f>
        <v/>
      </c>
      <c r="AT9" s="3" t="str">
        <f>IFERROR(__xludf.DUMMYFUNCTION("if(and(AR9&lt;&gt;"""",isnumber(find(lower(AR9),lower($T$5)))),int(substitute(if(regexmatch(proper($T$5),proper(AR9)&amp;"" [0-9]+""),regexextract(proper($T$5),proper(AR9)&amp;"" [0-9]+""),level),proper(AR9)&amp;"" "","""")),"""")"),"")</f>
        <v/>
      </c>
      <c r="AU9" s="3" t="str">
        <f>IFERROR(__xludf.DUMMYFUNCTION("""COMPUTED_VALUE"""),"")</f>
        <v/>
      </c>
      <c r="AV9" s="3"/>
      <c r="AW9" s="3" t="s">
        <v>8</v>
      </c>
      <c r="AX9" s="3" t="s">
        <v>8</v>
      </c>
      <c r="AY9" s="3" t="s">
        <v>8</v>
      </c>
      <c r="AZ9" s="3" t="s">
        <v>8</v>
      </c>
      <c r="BA9" s="3" t="s">
        <v>8</v>
      </c>
      <c r="BB9" s="3" t="s">
        <v>8</v>
      </c>
      <c r="BC9" s="3"/>
    </row>
    <row r="10" ht="15.75" customHeight="1">
      <c r="A10" s="33"/>
      <c r="B10" s="34" t="str">
        <f>IMAGE("https://i.imgur.com/u3YeDks.png",2)</f>
        <v/>
      </c>
      <c r="C10" s="35"/>
      <c r="D10" s="35"/>
      <c r="E10" s="36"/>
      <c r="G10" s="4" t="str">
        <f>IMAGE("https://i.imgur.com/0VlrXCA.png",4, 734, 20)</f>
        <v/>
      </c>
      <c r="O10" s="4" t="str">
        <f>IMAGE("https://i.imgur.com/GFrq6pf.png",4, 797, 20)</f>
        <v/>
      </c>
      <c r="Q10" s="37" t="str">
        <f>IMAGE("https://i.imgur.com/sMN3tei.png",2)</f>
        <v/>
      </c>
      <c r="R10" s="38"/>
      <c r="S10" s="38"/>
      <c r="T10" s="38"/>
      <c r="U10" s="38"/>
      <c r="V10" s="38"/>
      <c r="W10" s="38"/>
      <c r="X10" s="38"/>
      <c r="Y10" s="38"/>
      <c r="Z10" s="38"/>
      <c r="AA10" s="38"/>
      <c r="AB10" s="39"/>
      <c r="AC10" s="40" t="s">
        <v>11</v>
      </c>
      <c r="AD10" s="41" t="str">
        <f>IMAGE("https://i.imgur.com/sMN3tei.png",2)</f>
        <v/>
      </c>
      <c r="AE10" s="42"/>
      <c r="AF10" s="42"/>
      <c r="AG10" s="42"/>
      <c r="AH10" s="42"/>
      <c r="AI10" s="42"/>
      <c r="AJ10" s="42"/>
      <c r="AK10" s="42"/>
      <c r="AL10" s="42"/>
      <c r="AM10" s="42"/>
      <c r="AN10" s="42"/>
      <c r="AO10" s="43"/>
      <c r="AP10" s="12"/>
      <c r="AQ10" s="3" t="s">
        <v>8</v>
      </c>
      <c r="AR10" s="2"/>
      <c r="AS10" s="7" t="str">
        <f>IFERROR(__xludf.DUMMYFUNCTION("if($AR10&lt;&gt;"""",iferror(array_constrain(filter('Class Info'!$E$7:$E180,'Class Info'!$B$7:$B180=$AR10,'Class Info'!$E$7:$E180&lt;&gt;"""",isnumber(find(proper('Class Info'!$E$7:$E180),proper($T$5)))),1,1),""-""),"""")"),"")</f>
        <v/>
      </c>
      <c r="AT10" s="3" t="str">
        <f>IFERROR(__xludf.DUMMYFUNCTION("if(and(AR10&lt;&gt;"""",isnumber(find(lower(AR10),lower($T$5)))),int(substitute(if(regexmatch(proper($T$5),proper(AR10)&amp;"" [0-9]+""),regexextract(proper($T$5),proper(AR10)&amp;"" [0-9]+""),level),proper(AR10)&amp;"" "","""")),"""")"),"")</f>
        <v/>
      </c>
      <c r="AU10" s="3" t="str">
        <f>IFERROR(__xludf.DUMMYFUNCTION("""COMPUTED_VALUE"""),"")</f>
        <v/>
      </c>
      <c r="AV10" s="3"/>
      <c r="AW10" s="3" t="s">
        <v>8</v>
      </c>
      <c r="AX10" s="3" t="s">
        <v>8</v>
      </c>
      <c r="AY10" s="3" t="s">
        <v>8</v>
      </c>
      <c r="AZ10" s="3" t="s">
        <v>8</v>
      </c>
      <c r="BA10" s="3" t="s">
        <v>8</v>
      </c>
      <c r="BB10" s="3" t="s">
        <v>8</v>
      </c>
      <c r="BC10" s="3"/>
    </row>
    <row r="11" ht="15.75" customHeight="1">
      <c r="A11" s="33"/>
      <c r="B11" s="44" t="str">
        <f>IMAGE("https://i.imgur.com/VUGDDJt.png",4, 650, 20)</f>
        <v/>
      </c>
      <c r="C11" s="45"/>
      <c r="D11" s="45"/>
      <c r="E11" s="46" t="str">
        <f>IMAGE("https://i.imgur.com/u9a6TBA.png",4, 650, 20)</f>
        <v/>
      </c>
      <c r="H11" s="47">
        <v>0.0</v>
      </c>
      <c r="I11" s="25"/>
      <c r="J11" s="48" t="str">
        <f>image("https://i.imgur.com/kI66z3t.png",2)</f>
        <v/>
      </c>
      <c r="K11" s="49" t="s">
        <v>12</v>
      </c>
      <c r="L11" s="25"/>
      <c r="M11" s="25"/>
      <c r="N11" s="25"/>
      <c r="Q11" s="50" t="str">
        <f>IMAGE("https://i.imgur.com/r6YjQVe.png",4, 377, 20)</f>
        <v/>
      </c>
      <c r="R11" s="51"/>
      <c r="T11" s="52" t="str">
        <f>IMAGE("https://i.imgur.com/k6zj6md.png",2)</f>
        <v/>
      </c>
      <c r="U11" s="4" t="str">
        <f>IMAGE("http://i.imgur.com/C5Lv5CM.png",2)</f>
        <v/>
      </c>
      <c r="V11" s="53" t="str">
        <f>IFERROR(__xludf.DUMMYFUNCTION("if(V15&lt;&gt;"""",V15,
 if(regexmatch(substitute(substitute(Additional!AR79,""("",""""),"")"",""""),""advantage on[a-z. ]+?initiative""),
 if(regexmatch(substitute(substitute(Additional!AR79,""("",""""),"")"",""""),""sadvantage on[.a-z ]+?initiative""),
 ""dis"&amp;""",""adv""),if(countif(BC6:BC15,""adv"")&gt;0,""adv"","""")))")," ")</f>
        <v/>
      </c>
      <c r="X11" s="52" t="str">
        <f>IMAGE("https://i.imgur.com/k6zj6md.png",2)</f>
        <v/>
      </c>
      <c r="Y11" s="54" t="str">
        <f>IMAGE("http://i.imgur.com/C5Lv5CM.png",2)</f>
        <v/>
      </c>
      <c r="Z11" s="51"/>
      <c r="AB11" s="55" t="str">
        <f>IMAGE("http://i.imgur.com/pJkkaty.png",4, 377, 20)</f>
        <v/>
      </c>
      <c r="AC11" s="56"/>
      <c r="AD11" s="57" t="str">
        <f>IMAGE("http://i.imgur.com/yqyqC2t.png",4, 377, 20)</f>
        <v/>
      </c>
      <c r="AE11" s="58" t="s">
        <v>13</v>
      </c>
      <c r="AJ11" s="59"/>
      <c r="AO11" s="60" t="str">
        <f>IMAGE("http://i.imgur.com/40rhpIU.png",4, 377, 20)</f>
        <v/>
      </c>
      <c r="AQ11" s="3" t="s">
        <v>8</v>
      </c>
      <c r="AR11" s="2"/>
      <c r="AS11" s="7" t="str">
        <f>IFERROR(__xludf.DUMMYFUNCTION("if($AR11&lt;&gt;"""",iferror(array_constrain(filter('Class Info'!$E$7:$E180,'Class Info'!$B$7:$B180=$AR11,'Class Info'!$E$7:$E180&lt;&gt;"""",isnumber(find(proper('Class Info'!$E$7:$E180),proper($T$5)))),1,1),""-""),"""")"),"")</f>
        <v/>
      </c>
      <c r="AT11" s="3" t="str">
        <f>IFERROR(__xludf.DUMMYFUNCTION("if(and(AR11&lt;&gt;"""",isnumber(find(lower(AR11),lower($T$5)))),int(substitute(if(regexmatch(proper($T$5),proper(AR11)&amp;"" [0-9]+""),regexextract(proper($T$5),proper(AR11)&amp;"" [0-9]+""),level),proper(AR11)&amp;"" "","""")),"""")"),"")</f>
        <v/>
      </c>
      <c r="AU11" s="3" t="str">
        <f>IFERROR(__xludf.DUMMYFUNCTION("""COMPUTED_VALUE"""),"")</f>
        <v/>
      </c>
      <c r="AV11" s="3"/>
      <c r="AW11" s="3" t="s">
        <v>8</v>
      </c>
      <c r="AX11" s="3" t="s">
        <v>8</v>
      </c>
      <c r="AY11" s="3" t="s">
        <v>8</v>
      </c>
      <c r="AZ11" s="3" t="s">
        <v>8</v>
      </c>
      <c r="BA11" s="3" t="s">
        <v>8</v>
      </c>
      <c r="BB11" s="3" t="s">
        <v>8</v>
      </c>
      <c r="BC11" s="3"/>
    </row>
    <row r="12" ht="15.75" customHeight="1">
      <c r="A12" s="33"/>
      <c r="B12" s="61"/>
      <c r="C12" s="62" t="s">
        <v>14</v>
      </c>
      <c r="E12" s="63"/>
      <c r="H12" s="31"/>
      <c r="I12" s="31"/>
      <c r="J12" s="31"/>
      <c r="K12" s="31"/>
      <c r="L12" s="31"/>
      <c r="M12" s="31"/>
      <c r="N12" s="31"/>
      <c r="Q12" s="61"/>
      <c r="R12" s="64" t="str">
        <f>if(
    or(dexMod="-",level=""),
    "-",
    max(armoredAC,unarmoredAC,naturalArmorAC,altClassBasedAC)
    +dualWielder
 )</f>
        <v>-</v>
      </c>
      <c r="S12" s="25"/>
      <c r="T12" s="65"/>
      <c r="V12" s="66" t="str">
        <f>IFERROR(__xludf.DUMMYFUNCTION("if(or(dexMod=""-"",level=""""),
    ""-"",
    dexMod
    +sum(filter(AY45:AY56,AY45:AY56&lt;&gt;""-""))
    +max(jackOfAllTrades,iferror(if(and(vlookup(""Fighter"",$AR$6:$AS$15,2,false)=""Champion"",FighterLevel&gt;=7),ceiling(proficiencyBonus/2),0),0))
    +if(i"&amp;"snumber(find(""alert"",feats)),5,0)
    +iferror(sum(arrayformula(int(filter(BB6:BB15,regexmatch(BB6:BB15,""[0-9]+""))))),0)
    +sum(arrayformula(int(iferror(substitute(regexextract(lower(filter({BA32:BA56;Additional!$BA$3:$BA$24},regexmatch(lower({BA32:"&amp;"BA56;Additional!$BA$3:$BA$24}),""[0-9]+ bonus [a-z. ]+initiative""))),""[0-9]+ bonus to ""),"" bonus to "",""""),0))))
 )"),"-")</f>
        <v>-</v>
      </c>
      <c r="W12" s="25"/>
      <c r="X12" s="65"/>
      <c r="Y12" s="67"/>
      <c r="Z12" s="68">
        <f>IFERROR(__xludf.DUMMYFUNCTION("if(AQ5="""",""-"",iferror(int(regexextract(text(racialSpeed,0),""[0-9]+"")),30)+speedBonus)"),30.0)</f>
        <v>30</v>
      </c>
      <c r="AA12" s="25"/>
      <c r="AB12" s="63"/>
      <c r="AC12" s="56"/>
      <c r="AD12" s="61"/>
      <c r="AE12" s="69"/>
      <c r="AF12" s="70"/>
      <c r="AG12" s="70"/>
      <c r="AH12" s="70"/>
      <c r="AI12" s="70"/>
      <c r="AJ12" s="70"/>
      <c r="AK12" s="70"/>
      <c r="AL12" s="70"/>
      <c r="AM12" s="70"/>
      <c r="AN12" s="70"/>
      <c r="AO12" s="63"/>
      <c r="AQ12" s="3" t="s">
        <v>8</v>
      </c>
      <c r="AR12" s="3"/>
      <c r="AS12" s="7" t="str">
        <f>IFERROR(__xludf.DUMMYFUNCTION("if($AR12&lt;&gt;"""",iferror(array_constrain(filter('Class Info'!$E$7:$E180,'Class Info'!$B$7:$B180=$AR12,'Class Info'!$E$7:$E180&lt;&gt;"""",isnumber(find(proper('Class Info'!$E$7:$E180),proper($T$5)))),1,1),""-""),"""")"),"")</f>
        <v/>
      </c>
      <c r="AT12" s="3" t="str">
        <f>IFERROR(__xludf.DUMMYFUNCTION("if(and(AR12&lt;&gt;"""",isnumber(find(lower(AR12),lower($T$5)))),int(substitute(if(regexmatch(proper($T$5),proper(AR12)&amp;"" [0-9]+""),regexextract(proper($T$5),proper(AR12)&amp;"" [0-9]+""),level),proper(AR12)&amp;"" "","""")),"""")"),"")</f>
        <v/>
      </c>
      <c r="AU12" s="3" t="str">
        <f>IFERROR(__xludf.DUMMYFUNCTION("""COMPUTED_VALUE"""),"")</f>
        <v/>
      </c>
      <c r="AV12" s="3"/>
      <c r="AW12" s="3" t="s">
        <v>8</v>
      </c>
      <c r="AX12" s="3" t="s">
        <v>8</v>
      </c>
      <c r="AY12" s="3" t="s">
        <v>8</v>
      </c>
      <c r="AZ12" s="3" t="s">
        <v>8</v>
      </c>
      <c r="BA12" s="3" t="s">
        <v>8</v>
      </c>
      <c r="BB12" s="3" t="s">
        <v>8</v>
      </c>
      <c r="BC12" s="3"/>
    </row>
    <row r="13" ht="15.75" customHeight="1">
      <c r="A13" s="33"/>
      <c r="B13" s="61"/>
      <c r="C13" s="71" t="str">
        <f>if(C15="-","-",INT((C15-10)/2))</f>
        <v>-</v>
      </c>
      <c r="E13" s="63"/>
      <c r="J13" s="72"/>
      <c r="K13" s="5"/>
      <c r="L13" s="5"/>
      <c r="M13" s="5"/>
      <c r="N13" s="5"/>
      <c r="Q13" s="61"/>
      <c r="T13" s="65"/>
      <c r="X13" s="65"/>
      <c r="Y13" s="67"/>
      <c r="AB13" s="63"/>
      <c r="AC13" s="56"/>
      <c r="AD13" s="61"/>
      <c r="AE13" s="73"/>
      <c r="AF13" s="74"/>
      <c r="AG13" s="74"/>
      <c r="AH13" s="74"/>
      <c r="AI13" s="74"/>
      <c r="AJ13" s="74"/>
      <c r="AK13" s="74"/>
      <c r="AL13" s="74"/>
      <c r="AM13" s="74"/>
      <c r="AN13" s="74"/>
      <c r="AO13" s="63"/>
      <c r="AQ13" s="3" t="s">
        <v>8</v>
      </c>
      <c r="AR13" s="2"/>
      <c r="AS13" s="7" t="str">
        <f>IFERROR(__xludf.DUMMYFUNCTION("if($AR13&lt;&gt;"""",iferror(array_constrain(filter('Class Info'!$E$7:$E180,'Class Info'!$B$7:$B180=$AR13,'Class Info'!$E$7:$E180&lt;&gt;"""",isnumber(find(proper('Class Info'!$E$7:$E180),proper($T$5)))),1,1),""-""),"""")"),"")</f>
        <v/>
      </c>
      <c r="AT13" s="3" t="str">
        <f>IFERROR(__xludf.DUMMYFUNCTION("if(and(AR13&lt;&gt;"""",isnumber(find(lower(AR13),lower($T$5)))),int(substitute(if(regexmatch(proper($T$5),proper(AR13)&amp;"" [0-9]+""),regexextract(proper($T$5),proper(AR13)&amp;"" [0-9]+""),level),proper(AR13)&amp;"" "","""")),"""")"),"")</f>
        <v/>
      </c>
      <c r="AU13" s="3" t="str">
        <f>IFERROR(__xludf.DUMMYFUNCTION("""COMPUTED_VALUE"""),"")</f>
        <v/>
      </c>
      <c r="AV13" s="3"/>
      <c r="AW13" s="3" t="s">
        <v>8</v>
      </c>
      <c r="AX13" s="3" t="s">
        <v>8</v>
      </c>
      <c r="AY13" s="3" t="s">
        <v>8</v>
      </c>
      <c r="AZ13" s="3" t="s">
        <v>8</v>
      </c>
      <c r="BA13" s="3" t="s">
        <v>8</v>
      </c>
      <c r="BB13" s="3" t="s">
        <v>8</v>
      </c>
      <c r="BC13" s="3"/>
    </row>
    <row r="14" ht="15.75" customHeight="1">
      <c r="A14" s="33"/>
      <c r="B14" s="61"/>
      <c r="E14" s="63"/>
      <c r="H14" s="75" t="str">
        <f>IFERROR(__xludf.DUMMYFUNCTION("if(level="""","""",floor((level+7)/4)+iferror(sum(split(textjoin(""-"",True,AX45:AX49,AX50:AX56),""-"")),0))"),"")</f>
        <v/>
      </c>
      <c r="I14" s="25"/>
      <c r="J14" s="76" t="str">
        <f>image("https://i.imgur.com/v92a6gB.png",2)</f>
        <v/>
      </c>
      <c r="K14" s="77" t="s">
        <v>15</v>
      </c>
      <c r="L14" s="25"/>
      <c r="M14" s="25"/>
      <c r="N14" s="25"/>
      <c r="Q14" s="61"/>
      <c r="R14" s="78" t="s">
        <v>16</v>
      </c>
      <c r="S14" s="31"/>
      <c r="T14" s="65"/>
      <c r="V14" s="78" t="s">
        <v>17</v>
      </c>
      <c r="W14" s="31"/>
      <c r="X14" s="65"/>
      <c r="Y14" s="67"/>
      <c r="Z14" s="78" t="s">
        <v>18</v>
      </c>
      <c r="AA14" s="31"/>
      <c r="AB14" s="63"/>
      <c r="AC14" s="56"/>
      <c r="AD14" s="61"/>
      <c r="AE14" s="73"/>
      <c r="AF14" s="74"/>
      <c r="AG14" s="74"/>
      <c r="AH14" s="74"/>
      <c r="AI14" s="74"/>
      <c r="AJ14" s="74"/>
      <c r="AK14" s="74"/>
      <c r="AL14" s="74"/>
      <c r="AM14" s="74"/>
      <c r="AN14" s="74"/>
      <c r="AO14" s="63"/>
      <c r="AQ14" s="3" t="s">
        <v>8</v>
      </c>
      <c r="AR14" s="2"/>
      <c r="AS14" s="7" t="str">
        <f>IFERROR(__xludf.DUMMYFUNCTION("if($AR14&lt;&gt;"""",iferror(array_constrain(filter('Class Info'!$E$7:$E180,'Class Info'!$B$7:$B180=$AR14,'Class Info'!$E$7:$E180&lt;&gt;"""",isnumber(find(proper('Class Info'!$E$7:$E180),proper($T$5)))),1,1),""-""),"""")"),"")</f>
        <v/>
      </c>
      <c r="AT14" s="3" t="str">
        <f>IFERROR(__xludf.DUMMYFUNCTION("if(and(AR14&lt;&gt;"""",isnumber(find(lower(AR14),lower($T$5)))),int(substitute(if(regexmatch(proper($T$5),proper(AR14)&amp;"" [0-9]+""),regexextract(proper($T$5),proper(AR14)&amp;"" [0-9]+""),level),proper(AR14)&amp;"" "","""")),"""")"),"")</f>
        <v/>
      </c>
      <c r="AU14" s="3" t="str">
        <f>IFERROR(__xludf.DUMMYFUNCTION("""COMPUTED_VALUE"""),"")</f>
        <v/>
      </c>
      <c r="AV14" s="3"/>
      <c r="AW14" s="3" t="s">
        <v>8</v>
      </c>
      <c r="AX14" s="3" t="s">
        <v>8</v>
      </c>
      <c r="AY14" s="3" t="s">
        <v>8</v>
      </c>
      <c r="AZ14" s="3" t="s">
        <v>8</v>
      </c>
      <c r="BA14" s="3" t="s">
        <v>8</v>
      </c>
      <c r="BB14" s="3" t="s">
        <v>8</v>
      </c>
      <c r="BC14" s="3"/>
    </row>
    <row r="15" ht="15.75" customHeight="1">
      <c r="A15" s="33"/>
      <c r="B15" s="61"/>
      <c r="C15" s="79" t="str">
        <f>IFERROR(__xludf.DUMMYFUNCTION("if(C16,min(30,max(
iferror(int(trim(right(regexextract(Additional!$AR$79,lower(C12)&amp;""[a-z]+? score is [0-9]+""),2))),0),
iferror(int(trim(right(regexextract(Additional!$AR$79,lower(C12)&amp;""[a-z]+? score changes to [0-9]+""),2))),0),
min(iferror(int(trim(r"&amp;"ight(regexextract(Additional!$AR$79,lower(C12)&amp;""[a-z]+? [a-z ]+maximum of [0-9]+?""),2))),20+if(BarbarianLevel=20,4,0)),
C16+if(BarbarianLevel=20,4,0)+
iferror(if(find(regexextract($AR$5,lower(C12)&amp;"" \+[0-9]""),$AR$5)&lt;iferror(find(""choose"",lower($AR$5"&amp;")),len($AR$5)),int(right(regexextract($AR$5,lower(C12)&amp;"" \+[0-9]""),1)),0),0)-
iferror(if(find(regexextract($AR$5,lower(C12)&amp;"" \-[0-9]""),$AR$5)&lt;iferror(find(""choose"",lower($AR$5)),len($AR$5)),int(right(regexextract($AR$5,lower(C12)&amp;"" \-[0-9]""),1)),"&amp;"0),0)
+D16))
+sum(arrayformula(int(iferror(trim(right(regexextract(lower(filter({BA$32:BA$56;Additional!$BA$3:$BA$24},regexmatch(lower({BA$32:BA$56;Additional!$BA$3:$BA$24}),lower(C12)&amp;""[a-z]+? score increases by [0-9]+""))),lower(C12)&amp;""[a-z]+? score in"&amp;"creases by [0-9]+""),2)),0))))),""-"")"),"-")</f>
        <v>-</v>
      </c>
      <c r="D15" s="80"/>
      <c r="E15" s="63"/>
      <c r="F15" s="81"/>
      <c r="H15" s="31"/>
      <c r="I15" s="31"/>
      <c r="J15" s="31"/>
      <c r="K15" s="31"/>
      <c r="L15" s="31"/>
      <c r="M15" s="31"/>
      <c r="N15" s="31"/>
      <c r="Q15" s="61"/>
      <c r="R15" s="51"/>
      <c r="T15" s="65"/>
      <c r="V15" s="82"/>
      <c r="X15" s="65"/>
      <c r="Y15" s="67"/>
      <c r="Z15" s="51"/>
      <c r="AB15" s="63"/>
      <c r="AC15" s="56"/>
      <c r="AD15" s="61"/>
      <c r="AE15" s="83" t="s">
        <v>19</v>
      </c>
      <c r="AF15" s="84"/>
      <c r="AG15" s="84"/>
      <c r="AH15" s="84"/>
      <c r="AI15" s="84"/>
      <c r="AJ15" s="84"/>
      <c r="AK15" s="84"/>
      <c r="AL15" s="84"/>
      <c r="AM15" s="84"/>
      <c r="AN15" s="84"/>
      <c r="AO15" s="63"/>
      <c r="AQ15" s="3" t="s">
        <v>8</v>
      </c>
      <c r="AR15" s="2"/>
      <c r="AS15" s="7" t="str">
        <f>IFERROR(__xludf.DUMMYFUNCTION("if($AR15&lt;&gt;"""",iferror(array_constrain(filter('Class Info'!$E$7:$E180,'Class Info'!$B$7:$B180=$AR15,'Class Info'!$E$7:$E180&lt;&gt;"""",isnumber(find(proper('Class Info'!$E$7:$E180),proper($T$5)))),1,1),""-""),"""")"),"")</f>
        <v/>
      </c>
      <c r="AT15" s="3" t="str">
        <f>IFERROR(__xludf.DUMMYFUNCTION("if(and(AR15&lt;&gt;"""",isnumber(find(lower(AR15),lower($T$5)))),int(substitute(if(regexmatch(proper($T$5),proper(AR15)&amp;"" [0-9]+""),regexextract(proper($T$5),proper(AR15)&amp;"" [0-9]+""),level),proper(AR15)&amp;"" "","""")),"""")"),"")</f>
        <v/>
      </c>
      <c r="AU15" s="3" t="str">
        <f>IFERROR(__xludf.DUMMYFUNCTION("""COMPUTED_VALUE"""),"")</f>
        <v/>
      </c>
      <c r="AV15" s="3"/>
      <c r="AW15" s="3" t="s">
        <v>8</v>
      </c>
      <c r="AX15" s="3" t="s">
        <v>8</v>
      </c>
      <c r="AY15" s="3" t="s">
        <v>8</v>
      </c>
      <c r="AZ15" s="3" t="s">
        <v>8</v>
      </c>
      <c r="BA15" s="3" t="s">
        <v>8</v>
      </c>
      <c r="BB15" s="3" t="s">
        <v>8</v>
      </c>
      <c r="BC15" s="3"/>
    </row>
    <row r="16" ht="15.75" customHeight="1">
      <c r="A16" s="33"/>
      <c r="B16" s="61"/>
      <c r="C16" s="85">
        <v>0.0</v>
      </c>
      <c r="D16" s="86"/>
      <c r="E16" s="63"/>
      <c r="F16" s="87" t="b">
        <f>IFERROR(__xludf.DUMMYFUNCTION("arrayformula(if(P16:P23&lt;&gt;"""",P16:P23,
 if($AC$57&lt;&gt;""EQUIPPED ITEMS"",if(J16:J23&lt;&gt;"""",if(isnumber(find(J16:J23,""StrengthDexterity"")),""dis"",
 if(regexmatch(Additional!$AR$79,""advantage on all[a-z ]+?""&amp;lower(J16:J23)&amp;""[a-z ]+? sav saving throws""),
"&amp;" if(regexmatch(Additional!$AR$79,""sadvantage on all[a-z ]+""&amp;lower(J16:J23)&amp;""[a-z ]+? saving throws""),
 ""dis"",""adv""),
 if(regexmatch(substitute(lower($BA$5),"","",""""),""advantage on all[a-z ]+?""&amp;lower(J16:J23)&amp;""[a-z ]+?saving throws""),
 if(reg"&amp;"exmatch(substitute(lower($BA$5),"","",""""),""sadvantage on all[a-z ]+?""&amp;lower(J16:J23)&amp;""[a-z ]+?saving throws""),
 ""dis"",""adv""),""""))),""""))))"),FALSE)</f>
        <v>0</v>
      </c>
      <c r="I16" s="88"/>
      <c r="K16" s="5" t="str">
        <f>if(sum(H17:H23)=0,"Saving throws auto-populate.","")</f>
        <v>Saving throws auto-populate.</v>
      </c>
      <c r="L16" s="5"/>
      <c r="M16" s="5"/>
      <c r="N16" s="5"/>
      <c r="Q16" s="61"/>
      <c r="R16" s="89" t="s">
        <v>20</v>
      </c>
      <c r="S16" s="25"/>
      <c r="T16" s="25"/>
      <c r="U16" s="90" t="str">
        <f>if(and(level&lt;&gt;"",conMod&lt;&gt;"-"),level*C23+if(sum(rolledHitPoints)&gt;0,sum(rolledHitPoints),averageHitPoints)
 +if(ISNUMBER(AU5),max(0,floor(AU5*level,1)),0)
 +if(isnumber(find("tough",feats)),level*2,0),"-")</f>
        <v>-</v>
      </c>
      <c r="V16" s="70"/>
      <c r="W16" s="70"/>
      <c r="X16" s="70"/>
      <c r="Y16" s="70"/>
      <c r="Z16" s="70"/>
      <c r="AA16" s="70"/>
      <c r="AB16" s="63"/>
      <c r="AC16" s="56"/>
      <c r="AD16" s="61"/>
      <c r="AE16" s="69"/>
      <c r="AF16" s="70"/>
      <c r="AG16" s="70"/>
      <c r="AH16" s="70"/>
      <c r="AI16" s="70"/>
      <c r="AJ16" s="70"/>
      <c r="AK16" s="70"/>
      <c r="AL16" s="70"/>
      <c r="AM16" s="70"/>
      <c r="AN16" s="70"/>
      <c r="AO16" s="63"/>
      <c r="AQ16" s="3" t="str">
        <f>if(level&lt;&gt;"",iferror(vlookup(AJ11,AX69:AY180,2,false),""),"")</f>
        <v/>
      </c>
      <c r="AR16" s="7" t="str">
        <f>IFERROR(__xludf.DUMMYFUNCTION("textjoin("", "",True,iferror(filter(J25:J42,isnumber(find(lower(J25:J42),mid(lower($AZ$5),iferror(find(""proficien"",$AZ$5),1),len($AZ$5))))),""""))"),"")</f>
        <v/>
      </c>
      <c r="AS16" s="3" t="str">
        <f>if(level&lt;&gt;"",sum(AS17:AS20),"")</f>
        <v/>
      </c>
      <c r="AT16" s="3" t="str">
        <f>IFERROR(__xludf.DUMMYFUNCTION("if(AR6&lt;&gt;"""",if(
    and(iferror(filter(v2.1!AX6:AX15,v2.1!AT6:AT15=index(AL6))=""Half Caster""),AL6=1),0,
        if(
           countif(AX6:AX15,""Half Caster"")+countif(AX6:AX15,""Artificer Casting"")+countif(AX6:AX15,""Full Caster"")+countif(AX6:AX15,"&amp;"""Third Caster"")&lt;2,
           sum(iferror(filter(v2.1!AT6:AT15,v2.1!AX6:AX15=""Full Caster""),0))
           +ceiling(if(sum(iferror(filter(v2.1!AT6:AT15,v2.1!AX6:AX15=""Half Caster""),0))&gt;1,sum(iferror(filter(v2.1!AT6:AT15,v2.1!AX6:AX15=""Half Caster"""&amp;"),0)),0)/2)
           +ceiling(sum(iferror(filter(v2.1!AT6:AT15,v2.1!AX6:AX15=""Artificer Casting""),0))/2)
           +ceiling(if(sum(iferror(filter(v2.1!AT6:AT15,v2.1!AX6:AX15=""Third Caster""),0))&gt;2,sum(iferror(filter(v2.1!AT6:AT15,v2.1!AX6:AX15=""Thi"&amp;"rd Caster""),0)),0)/3),
           sum(iferror(filter(v2.1!AT6:AT15,v2.1!AX6:AX15=""Full Caster""),0))
           +floor(sum(iferror(filter(v2.1!AT6:AT15,v2.1!AX6:AX15=""Half Caster""),0))/2)
           +ceiling(sum(iferror(filter(v2.1!AT6:AT15,v2.1!AX6:A"&amp;"X15=""Artificer Casting""),0))/2)
           +floor(sum(iferror(filter(v2.1!AT6:AT15,v2.1!AX6:AX15=""Third Caster""),0))/3)
        )
 ),"""")"),"")</f>
        <v/>
      </c>
      <c r="AU16" s="8" t="str">
        <f>if(AR6&lt;&gt;"",sum(AU6:AU15),"")</f>
        <v/>
      </c>
      <c r="AV16" s="3" t="str">
        <f>AR6</f>
        <v/>
      </c>
      <c r="AW16" s="7" t="str">
        <f>textjoin(", ",true,AV6:AW15,AY5)</f>
        <v>-</v>
      </c>
      <c r="AX16" s="3"/>
      <c r="AY16" s="3"/>
      <c r="AZ16" s="3"/>
      <c r="BA16" s="3" t="str">
        <f>IFERROR(__xludf.DUMMYFUNCTION("if($T$5&lt;&gt;"""",array_constrain(iferror(filter(BA6:BA15,BA6:BA15&lt;&gt;"""",iserror(find(""10"",BA6:BA15))),""10+dex""),1,1),"""")"),"")</f>
        <v/>
      </c>
      <c r="BB16" s="3"/>
      <c r="BC16" s="3"/>
    </row>
    <row r="17" ht="15.75" customHeight="1">
      <c r="A17" s="12"/>
      <c r="B17" s="61"/>
      <c r="C17" s="62" t="s">
        <v>21</v>
      </c>
      <c r="E17" s="63"/>
      <c r="F17" s="91" t="b">
        <f>IFERROR(__xludf.DUMMYFUNCTION("""COMPUTED_VALUE"""),FALSE)</f>
        <v>0</v>
      </c>
      <c r="H17" s="92">
        <f>IFERROR(__xludf.DUMMYFUNCTION("if(or(regexmatch($AQ$63,lower(J17)),regexmatch($AW$16,J17)),1,0)"),0.0)</f>
        <v>0</v>
      </c>
      <c r="I17" s="93" t="str">
        <f>IFERROR(__xludf.DUMMYFUNCTION("if(and(proficiencyBonus,indirect(left(lower($J17),3)&amp;""Mod"")&lt;&gt;""-""),
    if($H17&lt;&gt;0,proficiencyBonus,0)
    +indirect(left(lower($J17),3)&amp;""Mod"")
    +$AS$58
    +sum(arrayformula(int(iferror(substitute(regexextract(lower(filter({BA$32:BA$56;Additional"&amp;"!$BA$3:$BA$24},regexmatch(lower({BA$32:BA$56;Additional!$BA$3:$BA$24}),""[0-9]+ bonus to ""&amp;lower($J17)&amp;"" sav""))),""[0-9]+ bonus to ""&amp;lower($J17)&amp;"" sav""),"" bonus to ""&amp;lower($J17)&amp;"" sav"",""""),0)))),""-"")"),"-")</f>
        <v>-</v>
      </c>
      <c r="J17" s="94" t="s">
        <v>22</v>
      </c>
      <c r="K17" s="25"/>
      <c r="L17" s="25"/>
      <c r="M17" s="25"/>
      <c r="N17" s="25"/>
      <c r="P17" s="95"/>
      <c r="Q17" s="61"/>
      <c r="R17" s="96"/>
      <c r="AB17" s="63"/>
      <c r="AC17" s="56"/>
      <c r="AD17" s="61"/>
      <c r="AE17" s="73"/>
      <c r="AF17" s="74"/>
      <c r="AG17" s="74"/>
      <c r="AH17" s="74"/>
      <c r="AI17" s="74"/>
      <c r="AJ17" s="74"/>
      <c r="AK17" s="74"/>
      <c r="AL17" s="74"/>
      <c r="AM17" s="74"/>
      <c r="AN17" s="74"/>
      <c r="AO17" s="63"/>
      <c r="AQ17" s="3" t="str">
        <f>if(level&lt;&gt;"",if($AJ$11&lt;&gt;"",2,0)+$AS$16-countif($H$25:$H$42,"&lt;&gt;0"),"")</f>
        <v/>
      </c>
      <c r="AR17" s="2" t="str">
        <f>IFERROR(__xludf.DUMMYFUNCTION("iferror(regexextract(textjoin("", "",True,filter($J$25:$J$42,$H$25:$H$42&lt;&gt;0,isnumber(find($J25:$J$42,$AR$16)))),""[a-zA-Z ]+.[a-zA-Z ]+""),"""")"),"")</f>
        <v/>
      </c>
      <c r="AS17" s="7" t="str">
        <f>IFERROR(__xludf.DUMMYFUNCTION("if(regexmatch(lower(AZ5),""gain proficiency [a-z ]+ choice""),
  if(isnumber(find("" one "",lower(AZ5))),1,if(isnumber(find("" two "",lower(AZ5))),2,if(isnumber(find("" three "",lower(AZ5))),3,if(isnumber(find("" four "",lower(AZ5))),4,0)))),"""")"),"")</f>
        <v/>
      </c>
      <c r="AT17" s="3"/>
      <c r="AU17" s="3"/>
      <c r="AV17" s="3"/>
      <c r="AW17" s="3" t="str">
        <f>IFERROR(__xludf.DUMMYFUNCTION("iferror(textjoin("", "",True,
 filter($J25:J42,
  isnumber(find(proper($J$25:$J$42),proper($AW$16)))+
  isnumber(find(proper($J$25:$J$42),proper($AW$18))),
  iserror(find(proper($J$25:$J$42),proper($AQ$16))),
  if($AS$18&gt;0,
     iserror(find(proper($J$25:"&amp;"$J$42),proper($AR$16))),
     iserror(find(proper($J$25:$J$42),proper($AR$17)))
  )
 )
),"""")"),"")</f>
        <v/>
      </c>
      <c r="AX17" s="3"/>
      <c r="AY17" s="3"/>
      <c r="AZ17" s="3"/>
      <c r="BA17" s="3"/>
      <c r="BB17" s="3"/>
      <c r="BC17" s="3"/>
    </row>
    <row r="18" ht="15.75" customHeight="1">
      <c r="A18" s="12"/>
      <c r="B18" s="61"/>
      <c r="C18" s="71" t="str">
        <f>if(C20="-","-",INT((C20-10)/2))</f>
        <v>-</v>
      </c>
      <c r="E18" s="63"/>
      <c r="F18" s="97" t="b">
        <f>IFERROR(__xludf.DUMMYFUNCTION("""COMPUTED_VALUE"""),FALSE)</f>
        <v>0</v>
      </c>
      <c r="H18" s="98">
        <f>IFERROR(__xludf.DUMMYFUNCTION("if(or(regexmatch($AQ$63,lower(J18)),regexmatch($AW$16,J18)),1,0)"),0.0)</f>
        <v>0</v>
      </c>
      <c r="I18" s="93" t="str">
        <f>IFERROR(__xludf.DUMMYFUNCTION("if(and(proficiencyBonus,indirect(left(lower($J18),3)&amp;""Mod"")&lt;&gt;""-""),
    if($H18&lt;&gt;0,proficiencyBonus,0)
    +indirect(left(lower($J18),3)&amp;""Mod"")
    +$AS$58
    +sum(arrayformula(int(iferror(substitute(regexextract(lower(filter({BA$32:BA$56;Additional"&amp;"!$BA$3:$BA$24},regexmatch(lower({BA$32:BA$56;Additional!$BA$3:$BA$24}),""[0-9]+ bonus to ""&amp;lower($J18)&amp;"" sav""))),""[0-9]+ bonus to ""&amp;lower($J18)&amp;"" sav""),"" bonus to ""&amp;lower($J18)&amp;"" sav"",""""),0)))),""-"")"),"-")</f>
        <v>-</v>
      </c>
      <c r="J18" s="99" t="s">
        <v>23</v>
      </c>
      <c r="P18" s="95"/>
      <c r="Q18" s="61"/>
      <c r="AB18" s="63"/>
      <c r="AC18" s="56"/>
      <c r="AD18" s="61"/>
      <c r="AE18" s="73"/>
      <c r="AF18" s="74"/>
      <c r="AG18" s="74"/>
      <c r="AH18" s="74"/>
      <c r="AI18" s="74"/>
      <c r="AJ18" s="74"/>
      <c r="AK18" s="74"/>
      <c r="AL18" s="74"/>
      <c r="AM18" s="74"/>
      <c r="AN18" s="74"/>
      <c r="AO18" s="63"/>
      <c r="AQ18" s="3">
        <f>IFERROR(__xludf.DUMMYFUNCTION("if(race&lt;&gt;"""",if(C15&lt;if(AU24&lt;&gt;""-"",AU24,0),-10,0)+if(isnumber(find(""mobile"",feats)),10,0)+sum(AZ6:AZ15)+sum(arrayformula(int(iferror(trim(left(regexextract(lower(filter({BA$32:BA$56;Additional!$BA$3:$BA$24},regexmatch(lower({BA$32:BA$56;Additional!$BA$"&amp;"3:$BA$24}),""walking speed increases by [0-9]+ feet""))),""[0-9]+ feet""),2)),0)))),"""")"),0.0)</f>
        <v>0</v>
      </c>
      <c r="AR18" s="2"/>
      <c r="AS18" s="7">
        <f>IFERROR(__xludf.DUMMYFUNCTION("if(race&lt;&gt;"""",counta(iferror(filter(J25:J42,regexmatch(lower(AZ5),""gain proficiency [a-z ]+""&amp;lower(J25:J42)&amp;""[a-z ]+skill"")))),"""")"),0.0)</f>
        <v>0</v>
      </c>
      <c r="AT18" s="3"/>
      <c r="AU18" s="3"/>
      <c r="AV18" s="3"/>
      <c r="AW18" s="3" t="str">
        <f>IFERROR(__xludf.DUMMYFUNCTION("textjoin("", "",True,arrayformula(if(regexmatch(lower($AW$7:$AW$15),""[0-9] skill""),vlookup($AR$7:$AR$15,'Class Info'!B7:T180,19,False),"""")))"),"")</f>
        <v/>
      </c>
      <c r="AX18" s="3"/>
      <c r="AY18" s="3"/>
      <c r="AZ18" s="3"/>
      <c r="BA18" s="3"/>
      <c r="BB18" s="3"/>
      <c r="BC18" s="3"/>
    </row>
    <row r="19" ht="15.75" customHeight="1">
      <c r="A19" s="12"/>
      <c r="B19" s="61"/>
      <c r="E19" s="63"/>
      <c r="F19" s="97" t="b">
        <f>IFERROR(__xludf.DUMMYFUNCTION("""COMPUTED_VALUE"""),FALSE)</f>
        <v>0</v>
      </c>
      <c r="H19" s="98">
        <f>IFERROR(__xludf.DUMMYFUNCTION("if(or(regexmatch($AQ$63,lower(J19)),regexmatch($AW$16,J19)),1,0)"),0.0)</f>
        <v>0</v>
      </c>
      <c r="I19" s="93" t="str">
        <f>IFERROR(__xludf.DUMMYFUNCTION("if(and(proficiencyBonus,indirect(left(lower($J19),3)&amp;""Mod"")&lt;&gt;""-""),
    if($H19&lt;&gt;0,proficiencyBonus,0)
    +indirect(left(lower($J19),3)&amp;""Mod"")
    +$AS$58
    +sum(arrayformula(int(iferror(substitute(regexextract(lower(filter({BA$32:BA$56;Additional"&amp;"!$BA$3:$BA$24},regexmatch(lower({BA$32:BA$56;Additional!$BA$3:$BA$24}),""[0-9]+ bonus to ""&amp;lower($J19)&amp;"" sav""))),""[0-9]+ bonus to ""&amp;lower($J19)&amp;"" sav""),"" bonus to ""&amp;lower($J19)&amp;"" sav"",""""),0)))),""-"")"),"-")</f>
        <v>-</v>
      </c>
      <c r="J19" s="99" t="s">
        <v>24</v>
      </c>
      <c r="P19" s="95"/>
      <c r="Q19" s="61"/>
      <c r="R19" s="100" t="s">
        <v>25</v>
      </c>
      <c r="AB19" s="63"/>
      <c r="AC19" s="56"/>
      <c r="AD19" s="61"/>
      <c r="AE19" s="83" t="s">
        <v>26</v>
      </c>
      <c r="AF19" s="84"/>
      <c r="AG19" s="84"/>
      <c r="AH19" s="84"/>
      <c r="AI19" s="84"/>
      <c r="AJ19" s="84"/>
      <c r="AK19" s="84"/>
      <c r="AL19" s="84"/>
      <c r="AM19" s="84"/>
      <c r="AN19" s="84"/>
      <c r="AO19" s="63"/>
      <c r="AQ19" s="3"/>
      <c r="AR19" s="2"/>
      <c r="AS19" s="7" t="str">
        <f>IFERROR(__xludf.DUMMYFUNCTION("if(level&lt;&gt;"""",int(iferror(right(regexextract(lower($AW$16),""choose [0-9]""),1),""2""))+sum(arrayformula(iferror(int(regexextract(iferror(regexextract($AW$6:$AW$15,""[0-9] Skill""),""0""),""[0-9]"")),0)),0)+int(iferror(right(regexextract(lower($AW$6),""c"&amp;"hoose [0-9]""),1),""0"")),"""")"),"")</f>
        <v/>
      </c>
      <c r="AT19" s="3"/>
      <c r="AU19" s="3"/>
      <c r="AV19" s="3"/>
      <c r="AW19" s="3"/>
      <c r="AX19" s="3"/>
      <c r="AY19" s="3"/>
      <c r="AZ19" s="3"/>
      <c r="BA19" s="3"/>
      <c r="BB19" s="3"/>
      <c r="BC19" s="3"/>
    </row>
    <row r="20" ht="15.75" customHeight="1">
      <c r="A20" s="12"/>
      <c r="B20" s="61"/>
      <c r="C20" s="79" t="str">
        <f>IFERROR(__xludf.DUMMYFUNCTION("if(C21,min(30,max(
iferror(int(trim(right(regexextract(Additional!$AR$79,lower(C17)&amp;""[a-z]+? score is [0-9]+""),2))),0),
iferror(int(trim(right(regexextract(Additional!$AR$79,lower(C17)&amp;""[a-z]+? score changes to [0-9]+""),2))),0),
min(iferror(int(trim(r"&amp;"ight(regexextract(Additional!$AR$79,lower(C17)&amp;""[a-z]+? [a-z ]+maximum of [0-9]+?""),2))),20),
C21+
iferror(if(find(regexextract($AR$5,lower(C17)&amp;"" \+[0-9]""),$AR$5)&lt;iferror(find(""choose"",lower($AR$5)),len($AR$5)),int(right(regexextract($AR$5,lower(C1"&amp;"7)&amp;"" \+[0-9]""),1)),0),0)-
iferror(if(find(regexextract($AR$5,lower(C17)&amp;"" \-[0-9]""),$AR$5)&lt;iferror(find(""choose"",lower($AR$5)),len($AR$5)),int(right(regexextract($AR$5,lower(C17)&amp;"" \-[0-9]""),1)),0),0)
+D21))
+sum(arrayformula(int(iferror(trim(righ"&amp;"t(regexextract(lower(filter({BA$32:BA$56;Additional!$BA$3:$BA$24},regexmatch(lower({BA$32:BA$56;Additional!$BA$3:$BA$24}),lower(C17)&amp;""[a-z]+? score increases by [0-9]+""))),lower(C17)&amp;""[a-z]+? score increases by [0-9]+""),2)),0))))),""-"")"),"-")</f>
        <v>-</v>
      </c>
      <c r="D20" s="80"/>
      <c r="E20" s="63"/>
      <c r="F20" s="97" t="b">
        <f>IFERROR(__xludf.DUMMYFUNCTION("""COMPUTED_VALUE"""),FALSE)</f>
        <v>0</v>
      </c>
      <c r="H20" s="98">
        <f>IFERROR(__xludf.DUMMYFUNCTION("if(or(regexmatch($AQ$63,lower(J20)),regexmatch($AW$16,J20)),1,0)"),0.0)</f>
        <v>0</v>
      </c>
      <c r="I20" s="93" t="str">
        <f>IFERROR(__xludf.DUMMYFUNCTION("if(and(proficiencyBonus,indirect(left(lower($J20),3)&amp;""Mod"")&lt;&gt;""-""),
    if($H20&lt;&gt;0,proficiencyBonus,0)
    +indirect(left(lower($J20),3)&amp;""Mod"")
    +$AS$58
    +sum(arrayformula(int(iferror(substitute(regexextract(lower(filter({BA$32:BA$56;Additional"&amp;"!$BA$3:$BA$24},regexmatch(lower({BA$32:BA$56;Additional!$BA$3:$BA$24}),""[0-9]+ bonus to ""&amp;lower($J20)&amp;"" sav""))),""[0-9]+ bonus to ""&amp;lower($J20)&amp;"" sav""),"" bonus to ""&amp;lower($J20)&amp;"" sav"",""""),0)))),""-"")"),"-")</f>
        <v>-</v>
      </c>
      <c r="J20" s="99" t="s">
        <v>27</v>
      </c>
      <c r="P20" s="95"/>
      <c r="Q20" s="61"/>
      <c r="R20" s="89" t="s">
        <v>28</v>
      </c>
      <c r="S20" s="25"/>
      <c r="T20" s="25"/>
      <c r="U20" s="90"/>
      <c r="V20" s="70"/>
      <c r="W20" s="70"/>
      <c r="X20" s="70"/>
      <c r="Y20" s="70"/>
      <c r="Z20" s="70"/>
      <c r="AA20" s="70"/>
      <c r="AB20" s="63"/>
      <c r="AC20" s="56"/>
      <c r="AD20" s="61"/>
      <c r="AE20" s="69"/>
      <c r="AF20" s="70"/>
      <c r="AG20" s="70"/>
      <c r="AH20" s="70"/>
      <c r="AI20" s="70"/>
      <c r="AJ20" s="70"/>
      <c r="AK20" s="70"/>
      <c r="AL20" s="70"/>
      <c r="AM20" s="70"/>
      <c r="AN20" s="70"/>
      <c r="AO20" s="63"/>
      <c r="AQ20" s="3"/>
      <c r="AR20" s="2"/>
      <c r="AS20" s="7" t="str">
        <f>IFERROR(__xludf.DUMMYFUNCTION("if(counta(iferror(filter(J25:J42,isnumber(find(lower(J25:J42),AQ63)))))=0,"""",counta(iferror(filter(J25:J42,isnumber(find(lower(J25:J42),AQ63))))))"),"")</f>
        <v/>
      </c>
      <c r="AT20" s="3"/>
      <c r="AU20" s="3"/>
      <c r="AV20" s="3"/>
      <c r="AW20" s="3"/>
      <c r="AX20" s="3"/>
      <c r="AY20" s="3"/>
      <c r="AZ20" s="3"/>
      <c r="BA20" s="3"/>
      <c r="BB20" s="3"/>
      <c r="BC20" s="3"/>
    </row>
    <row r="21" ht="15.75" customHeight="1">
      <c r="A21" s="12"/>
      <c r="B21" s="61"/>
      <c r="C21" s="101">
        <v>0.0</v>
      </c>
      <c r="D21" s="86"/>
      <c r="E21" s="63"/>
      <c r="F21" s="97" t="b">
        <f>IFERROR(__xludf.DUMMYFUNCTION("""COMPUTED_VALUE"""),FALSE)</f>
        <v>0</v>
      </c>
      <c r="H21" s="98">
        <f>IFERROR(__xludf.DUMMYFUNCTION("if(or(regexmatch($AQ$63,lower(J21)),regexmatch($AW$16,J21)),1,0)"),0.0)</f>
        <v>0</v>
      </c>
      <c r="I21" s="93" t="str">
        <f>IFERROR(__xludf.DUMMYFUNCTION("if(and(proficiencyBonus,indirect(left(lower($J21),3)&amp;""Mod"")&lt;&gt;""-""),
    if($H21&lt;&gt;0,proficiencyBonus,0)
    +indirect(left(lower($J21),3)&amp;""Mod"")
    +$AS$58
    +sum(arrayformula(int(iferror(substitute(regexextract(lower(filter({BA$32:BA$56;Additional"&amp;"!$BA$3:$BA$24},regexmatch(lower({BA$32:BA$56;Additional!$BA$3:$BA$24}),""[0-9]+ bonus to ""&amp;lower($J21)&amp;"" sav""))),""[0-9]+ bonus to ""&amp;lower($J21)&amp;"" sav""),"" bonus to ""&amp;lower($J21)&amp;"" sav"",""""),0)))),""-"")"),"-")</f>
        <v>-</v>
      </c>
      <c r="J21" s="99" t="s">
        <v>29</v>
      </c>
      <c r="P21" s="95"/>
      <c r="Q21" s="61"/>
      <c r="R21" s="102"/>
      <c r="AB21" s="63"/>
      <c r="AC21" s="56"/>
      <c r="AD21" s="61"/>
      <c r="AE21" s="73"/>
      <c r="AF21" s="74"/>
      <c r="AG21" s="74"/>
      <c r="AH21" s="74"/>
      <c r="AI21" s="74"/>
      <c r="AJ21" s="74"/>
      <c r="AK21" s="74"/>
      <c r="AL21" s="74"/>
      <c r="AM21" s="74"/>
      <c r="AN21" s="74"/>
      <c r="AO21" s="63"/>
      <c r="AQ21" s="3"/>
      <c r="AR21" s="2"/>
      <c r="AS21" s="7"/>
      <c r="AT21" s="3"/>
      <c r="AU21" s="3"/>
      <c r="AV21" s="8"/>
      <c r="AW21" s="3"/>
      <c r="AX21" s="3"/>
      <c r="AY21" s="3"/>
      <c r="AZ21" s="3"/>
      <c r="BA21" s="3"/>
      <c r="BB21" s="3"/>
      <c r="BC21" s="3"/>
    </row>
    <row r="22" ht="15.75" customHeight="1">
      <c r="A22" s="12"/>
      <c r="B22" s="61"/>
      <c r="C22" s="62" t="s">
        <v>30</v>
      </c>
      <c r="E22" s="63"/>
      <c r="F22" s="97" t="b">
        <f>IFERROR(__xludf.DUMMYFUNCTION("""COMPUTED_VALUE"""),FALSE)</f>
        <v>0</v>
      </c>
      <c r="H22" s="98">
        <f>IFERROR(__xludf.DUMMYFUNCTION("if(or(regexmatch($AQ$63,lower(J22)),regexmatch($AW$16,J22)),1,0)"),0.0)</f>
        <v>0</v>
      </c>
      <c r="I22" s="93" t="str">
        <f>IFERROR(__xludf.DUMMYFUNCTION("if(and(proficiencyBonus,indirect(left(lower($J22),3)&amp;""Mod"")&lt;&gt;""-""),
    if($H22&lt;&gt;0,proficiencyBonus,0)
    +indirect(left(lower($J22),3)&amp;""Mod"")
    +$AS$58
    +sum(arrayformula(int(iferror(substitute(regexextract(lower(filter({BA$32:BA$56;Additional"&amp;"!$BA$3:$BA$24},regexmatch(lower({BA$32:BA$56;Additional!$BA$3:$BA$24}),""[0-9]+ bonus to ""&amp;lower($J22)&amp;"" sav""))),""[0-9]+ bonus to ""&amp;lower($J22)&amp;"" sav""),"" bonus to ""&amp;lower($J22)&amp;"" sav"",""""),0)))),""-"")"),"-")</f>
        <v>-</v>
      </c>
      <c r="J22" s="99" t="s">
        <v>31</v>
      </c>
      <c r="P22" s="95"/>
      <c r="Q22" s="61"/>
      <c r="AB22" s="63"/>
      <c r="AC22" s="56"/>
      <c r="AD22" s="61"/>
      <c r="AE22" s="73"/>
      <c r="AF22" s="74"/>
      <c r="AG22" s="74"/>
      <c r="AH22" s="74"/>
      <c r="AI22" s="74"/>
      <c r="AJ22" s="74"/>
      <c r="AK22" s="74"/>
      <c r="AL22" s="74"/>
      <c r="AM22" s="74"/>
      <c r="AN22" s="74"/>
      <c r="AO22" s="63"/>
      <c r="AQ22" s="3"/>
      <c r="AR22" s="2"/>
      <c r="AS22" s="7"/>
      <c r="AT22" s="3"/>
      <c r="AU22" s="3"/>
      <c r="AV22" s="3"/>
      <c r="AW22" s="3"/>
      <c r="AX22" s="3"/>
      <c r="AY22" s="3"/>
      <c r="AZ22" s="3"/>
      <c r="BA22" s="3"/>
      <c r="BB22" s="3"/>
      <c r="BC22" s="3"/>
    </row>
    <row r="23" ht="15.75" customHeight="1">
      <c r="A23" s="12"/>
      <c r="B23" s="61"/>
      <c r="C23" s="71" t="str">
        <f>if(C25="-","-",INT((C25-10)/2))</f>
        <v>-</v>
      </c>
      <c r="E23" s="63"/>
      <c r="F23" s="97" t="b">
        <f>IFERROR(__xludf.DUMMYFUNCTION("""COMPUTED_VALUE"""),FALSE)</f>
        <v>0</v>
      </c>
      <c r="H23" s="103" t="s">
        <v>32</v>
      </c>
      <c r="I23" s="31"/>
      <c r="J23" s="31"/>
      <c r="K23" s="31"/>
      <c r="L23" s="31"/>
      <c r="M23" s="31"/>
      <c r="N23" s="31"/>
      <c r="P23" s="95"/>
      <c r="Q23" s="61"/>
      <c r="R23" s="104" t="s">
        <v>33</v>
      </c>
      <c r="S23" s="31"/>
      <c r="T23" s="31"/>
      <c r="U23" s="31"/>
      <c r="V23" s="31"/>
      <c r="W23" s="31"/>
      <c r="X23" s="31"/>
      <c r="Y23" s="31"/>
      <c r="Z23" s="31"/>
      <c r="AA23" s="31"/>
      <c r="AB23" s="63"/>
      <c r="AC23" s="56"/>
      <c r="AD23" s="61"/>
      <c r="AE23" s="83" t="s">
        <v>34</v>
      </c>
      <c r="AF23" s="84"/>
      <c r="AG23" s="84"/>
      <c r="AH23" s="84"/>
      <c r="AI23" s="84"/>
      <c r="AJ23" s="84"/>
      <c r="AK23" s="84"/>
      <c r="AL23" s="84"/>
      <c r="AM23" s="84"/>
      <c r="AN23" s="84"/>
      <c r="AO23" s="63"/>
      <c r="AQ23" s="3"/>
      <c r="AR23" s="3"/>
      <c r="AS23" s="3"/>
      <c r="AT23" s="3"/>
      <c r="AU23" s="3"/>
      <c r="AV23" s="3"/>
      <c r="AW23" s="3"/>
      <c r="AX23" s="3"/>
      <c r="AY23" s="3"/>
      <c r="AZ23" s="3"/>
      <c r="BA23" s="3"/>
      <c r="BB23" s="3"/>
      <c r="BC23" s="3"/>
    </row>
    <row r="24" ht="15.75" customHeight="1">
      <c r="A24" s="12"/>
      <c r="B24" s="61"/>
      <c r="E24" s="63"/>
      <c r="F24" s="97" t="str">
        <f>IFERROR(__xludf.DUMMYFUNCTION("arrayformula(if(P24:P42&lt;&gt;"""",P24:P42,
 if($AC$57&lt;&gt;""EQUIPPED ITEMS"",if(J24:J42&lt;&gt;"""",if(isnumber(find(J24:J42,""AcrobaticsAthleticsSleight of HandStealth"")),""dis"",
 if(regexmatch(Additional!$AR$79,""advantage on [a-z]+? .""&amp;lower(J24:J42)&amp;"". checks"&amp;"""),
 if(not(regexmatch(Additional!$AR$79,""advantage on [a-z]+? .""&amp;lower(J24:J42)&amp;"". checks when"")),
 if(regexmatch(Additional!$AR$79,""sadvantage on [a-z]+ .""&amp;lower(J24:J42)&amp;"". checks""),
 ""dis"",""adv""),""""),
 if(J24:J42=""Stealth"",if(lower($A"&amp;"V$24)=""disadvantage"",""dis"",if(lower($AV$24)=""advantage"",""adv"","""")),""""))),""""),"""")))"),"")</f>
        <v/>
      </c>
      <c r="H24" s="105"/>
      <c r="I24" s="105"/>
      <c r="J24" s="105"/>
      <c r="K24" s="105" t="str">
        <f>if(countif(H25:H42,"0")=18,"Fill skill bubbles with '1' (one).",
    if(and(or(RogueLevel&gt;0,BardLevel&gt;2),countif(H25:H42,"e")&lt;1),"Use 'e' for expertise!","")
 )</f>
        <v>Fill skill bubbles with '1' (one).</v>
      </c>
      <c r="L24" s="105"/>
      <c r="M24" s="105"/>
      <c r="N24" s="105"/>
      <c r="P24" s="95"/>
      <c r="Q24" s="61"/>
      <c r="R24" s="51"/>
      <c r="V24" s="52" t="str">
        <f>IMAGE("https://i.imgur.com/k6zj6md.png",2)</f>
        <v/>
      </c>
      <c r="W24" s="54" t="str">
        <f>IMAGE("http://i.imgur.com/C5Lv5CM.png",2)</f>
        <v/>
      </c>
      <c r="X24" s="51"/>
      <c r="AB24" s="63"/>
      <c r="AC24" s="56"/>
      <c r="AD24" s="61"/>
      <c r="AE24" s="69"/>
      <c r="AF24" s="70"/>
      <c r="AG24" s="70"/>
      <c r="AH24" s="70"/>
      <c r="AI24" s="70"/>
      <c r="AJ24" s="70"/>
      <c r="AK24" s="70"/>
      <c r="AL24" s="70"/>
      <c r="AM24" s="70"/>
      <c r="AN24" s="70"/>
      <c r="AO24" s="63"/>
      <c r="AQ24" s="3" t="str">
        <f>IFERROR(__xludf.DUMMYFUNCTION("iferror(array_constrain(split(textjoin(""~"",True,filter(AQ45:BC56,AQ45:AQ56&lt;&gt;"""",isnumber(find(""armor"",lower(AT45:AT56))))),""~""),1,11),"""")"),"")</f>
        <v/>
      </c>
      <c r="AR24" s="3"/>
      <c r="AS24" s="3"/>
      <c r="AT24" s="3"/>
      <c r="AU24" s="3"/>
      <c r="AV24" s="3"/>
      <c r="AW24" s="3"/>
      <c r="AX24" s="3"/>
      <c r="AY24" s="3"/>
      <c r="AZ24" s="3"/>
      <c r="BA24" s="3"/>
      <c r="BB24" s="3"/>
      <c r="BC24" s="3"/>
    </row>
    <row r="25" ht="15.75" customHeight="1">
      <c r="A25" s="106"/>
      <c r="B25" s="61"/>
      <c r="C25" s="79" t="str">
        <f>IFERROR(__xludf.DUMMYFUNCTION("if(C26,min(30,max(
iferror(int(trim(right(regexextract(Additional!$AR$79,lower(C22)&amp;""[a-z]+? score is [0-9]+""),2))),0),
iferror(int(trim(right(regexextract(Additional!$AR$79,lower(C22)&amp;""[a-z]+? score changes to [0-9]+""),2))),0),
min(iferror(int(trim(r"&amp;"ight(regexextract(Additional!$AR$79,lower(C22)&amp;""[a-z]+? [a-z ]+maximum of [0-9]+?""),2))),20+if(BarbarianLevel=20,4,0)),
C26+if(BarbarianLevel=20,4,0)+
iferror(if(find(regexextract($AR$5,lower(C22)&amp;"" \+[0-9]""),$AR$5)&lt;iferror(find(""choose"",lower($AR$5"&amp;")),len($AR$5)),int(right(regexextract($AR$5,lower(C22)&amp;"" \+[0-9]""),1)),0),0)-
iferror(if(find(regexextract($AR$5,lower(C22)&amp;"" \-[0-9]""),$AR$5)&lt;iferror(find(""choose"",lower($AR$5)),len($AR$5)),int(right(regexextract($AR$5,lower(C22)&amp;"" \-[0-9]""),1)),"&amp;"0),0)
+D26))
+sum(arrayformula(int(iferror(trim(right(regexextract(lower(filter({BA$32:BA$56;Additional!$BA$3:$BA$24},regexmatch(lower({BA$32:BA$56;Additional!$BA$3:$BA$24}),lower(C22)&amp;""[a-z]+? score increases by [0-9]+""))),lower(C22)&amp;""[a-z]+? score in"&amp;"creases by [0-9]+""),2)),0))))),""-"")"),"-")</f>
        <v>-</v>
      </c>
      <c r="D25" s="80"/>
      <c r="E25" s="63"/>
      <c r="F25" s="107" t="str">
        <f>IFERROR(__xludf.DUMMYFUNCTION("""COMPUTED_VALUE"""),"")</f>
        <v/>
      </c>
      <c r="H25" s="108">
        <v>0.0</v>
      </c>
      <c r="I25" s="109" t="str">
        <f>IFERROR(__xludf.DUMMYFUNCTION("if(and(proficiencyBonus,indirect(regexextract(lower(concatenate(K25:N25)),""[a-z]{3}"")&amp;""Mod"")&lt;&gt;""-""),
    if(H25&lt;&gt;0,proficiencyBonus*if(H25=""e"",2,1),max(jackOfAllTrades,iferror(if(and(vlookup(""Fighter"",$AR$6:$AS$15,2,false)=""Champion"",FighterLev"&amp;"el&gt;=7),CEILING(proficiencyBonus/2),0),0)))
    +indirect(regexextract(lower(concatenate(K25:N25)),""[a-z]{3}"")&amp;""Mod"")
    +$AR$58
    +sum(arrayformula(int(iferror(trim(left(regexextract(lower(filter({BA$32:BA$56;Additional!$BA$3:$BA$24},regexmatch(low"&amp;"er({BA$32:BA$56;Additional!$BA$3:$BA$24}),""[0-9]+ bonus to ""&amp;regexextract(lower(concatenate(K25:N25)),""[a-z]{3}"")&amp;""[a-z]+? .""&amp;lower(J25)))),""[0-9]+ bonus to ""&amp;regexextract(lower(concatenate(K25:N25)),""[a-z]{3}"")&amp;""[a-z]+? .""&amp;lower(J25)),2)),0))"&amp;")),""-"")"),"-")</f>
        <v>-</v>
      </c>
      <c r="J25" s="110" t="s">
        <v>35</v>
      </c>
      <c r="K25" s="111"/>
      <c r="L25" s="111"/>
      <c r="M25" s="112" t="s">
        <v>36</v>
      </c>
      <c r="N25" s="113"/>
      <c r="P25" s="114"/>
      <c r="Q25" s="61"/>
      <c r="R25" s="115" t="str">
        <f>IFERROR(__xludf.DUMMYFUNCTION("iferror(textjoin("" "",true,arrayformula(sumif($AQ$6:$AQ$15,arrayformula(""d""&amp;sort(unique(filter(int(regexextract(AQ6:AQ15,""[0-9]+"")),AQ6:AQ15&lt;&gt;"""")),1,True)),AT6:AT15)&amp;arrayformula(""d""&amp;sort(unique(filter(int(regexextract(AQ6:AQ15,""[0-9]+"")),AQ6:A"&amp;"Q15&lt;&gt;"""")),1,True)))),""-"")"),"-")</f>
        <v>-</v>
      </c>
      <c r="S25" s="25"/>
      <c r="T25" s="25"/>
      <c r="U25" s="25"/>
      <c r="V25" s="65"/>
      <c r="W25" s="67"/>
      <c r="X25" s="116" t="s">
        <v>37</v>
      </c>
      <c r="Y25" s="117">
        <v>0.0</v>
      </c>
      <c r="Z25" s="118">
        <v>0.0</v>
      </c>
      <c r="AA25" s="119">
        <v>0.0</v>
      </c>
      <c r="AB25" s="63"/>
      <c r="AC25" s="120"/>
      <c r="AD25" s="61"/>
      <c r="AE25" s="73"/>
      <c r="AF25" s="74"/>
      <c r="AG25" s="74"/>
      <c r="AH25" s="74"/>
      <c r="AI25" s="74"/>
      <c r="AJ25" s="74"/>
      <c r="AK25" s="74"/>
      <c r="AL25" s="74"/>
      <c r="AM25" s="74"/>
      <c r="AN25" s="74"/>
      <c r="AO25" s="63"/>
      <c r="AQ25" s="7" t="str">
        <f>IFERROR(__xludf.DUMMYFUNCTION("iferror(array_constrain(split(textjoin(""~"",True,filter(AQ45:BC56,AQ45:AQ56&lt;&gt;"""",isnumber(find(""shield"",lower(AT45:AT56))))),""~""),1,11),"""")"),"")</f>
        <v/>
      </c>
      <c r="AR25" s="3"/>
      <c r="AS25" s="3"/>
      <c r="AT25" s="3"/>
      <c r="AU25" s="3"/>
      <c r="AV25" s="3"/>
      <c r="AW25" s="3"/>
      <c r="AX25" s="3"/>
      <c r="AY25" s="3"/>
      <c r="AZ25" s="3"/>
      <c r="BA25" s="3"/>
      <c r="BB25" s="3"/>
      <c r="BC25" s="3"/>
    </row>
    <row r="26" ht="15.75" customHeight="1">
      <c r="A26" s="106"/>
      <c r="B26" s="61"/>
      <c r="C26" s="85">
        <v>0.0</v>
      </c>
      <c r="D26" s="86"/>
      <c r="E26" s="63"/>
      <c r="F26" s="107" t="str">
        <f>IFERROR(__xludf.DUMMYFUNCTION("""COMPUTED_VALUE"""),"")</f>
        <v/>
      </c>
      <c r="H26" s="121">
        <v>0.0</v>
      </c>
      <c r="I26" s="122" t="str">
        <f>IFERROR(__xludf.DUMMYFUNCTION("if(and(proficiencyBonus,indirect(regexextract(lower(concatenate(K26:N26)),""[a-z]{3}"")&amp;""Mod"")&lt;&gt;""-""),
    if(H26&lt;&gt;0,proficiencyBonus*if(H26=""e"",2,1),jackOfAllTrades)
    +indirect(regexextract(lower(concatenate(K26:N26)),""[a-z]{3}"")&amp;""Mod"")
    +"&amp;"$AR$58
    +sum(arrayformula(int(iferror(trim(left(regexextract(lower(filter({BA$32:BA$56;Additional!$BA$3:$BA$24},regexmatch(lower({BA$32:BA$56;Additional!$BA$3:$BA$24}),""[0-9]+ bonus to ""&amp;regexextract(lower(concatenate(K26:N26)),""[a-z]{3}"")&amp;""[a-z]+"&amp;"? .""&amp;lower(J26)))),""[0-9]+ bonus to ""&amp;regexextract(lower(concatenate(K26:N26)),""[a-z]{3}"")&amp;""[a-z]+? .""&amp;lower(J26)),2)),0)))),""-"")"),"-")</f>
        <v>-</v>
      </c>
      <c r="J26" s="123" t="s">
        <v>38</v>
      </c>
      <c r="K26" s="124"/>
      <c r="L26" s="125"/>
      <c r="M26" s="113"/>
      <c r="N26" s="113" t="s">
        <v>39</v>
      </c>
      <c r="P26" s="114"/>
      <c r="Q26" s="61"/>
      <c r="V26" s="65"/>
      <c r="W26" s="67"/>
      <c r="X26" s="126" t="s">
        <v>40</v>
      </c>
      <c r="Y26" s="127">
        <v>0.0</v>
      </c>
      <c r="Z26" s="128">
        <v>0.0</v>
      </c>
      <c r="AA26" s="129">
        <v>0.0</v>
      </c>
      <c r="AB26" s="63"/>
      <c r="AC26" s="56"/>
      <c r="AD26" s="61"/>
      <c r="AE26" s="73"/>
      <c r="AF26" s="74"/>
      <c r="AG26" s="74"/>
      <c r="AH26" s="74"/>
      <c r="AI26" s="74"/>
      <c r="AJ26" s="74"/>
      <c r="AK26" s="74"/>
      <c r="AL26" s="74"/>
      <c r="AM26" s="74"/>
      <c r="AN26" s="74"/>
      <c r="AO26" s="63"/>
      <c r="AQ26" s="130" t="str">
        <f>IFERROR(__xludf.DUMMYFUNCTION("if(level="""","""",
    if(isnumber($AS$5),$AS$5,10+AR24+if(AW24&lt;&gt;""-"",AW24,0)+defense+mariner+min(if(AS24=""-"",dexMod,AS24),max(if(AS24&lt;&gt;0,dexMod,AS24),dexMod))
    +if(regexmatch($AS$5,""\+[0-9]""),
    if(isnumber(find(""Heavy"",$AS$5)),
       if(is"&amp;"number(find(""NoHeavy"",$AS$5)),
          if(isnumber(find(""heavy"",lower($AT$24))),0,int(regexextract($AS$5,""\+[0-9]""))),
          if(iserror(find(""heavy"",lower($AT$24))),0,int(regexextract($AS$5,""\+[0-9]"")))),int(regexextract($AS$5,""\+[0-9]"")"&amp;")),0)
    +if(regexmatch($BC$5,""\+[0-9]""),
    if(isnumber(find(""Heavy"",$BC$5)),
       if(isnumber(find(""NoHeavy"",$BC$5)),
          if(isnumber(find(""heavy"",lower($AT$24))),0,int(regexextract($BC$5,""\+[0-9]""))),
          if(iserror(find(""hea"&amp;"vy"",lower($AT$24))),0,int(regexextract($BC$5,""\+[0-9]"")))),int(regexextract($BC$5,""\+[0-9]""))),0)
    +AR25+if(AW25&lt;&gt;""-"",AW25,0)
    +sum(filter(AR45:AR56,iserror(find(""no armor"",BA45:BA56)),AT45:AT56&lt;&gt;""Shield"",not(isnumber(find(""armor"",lower"&amp;"(AT45:AT56))))))
    +iferror(sum(arrayformula(vlookup(filter((split($BC$5,""+"")),isnumber(find(split($BC$5,""+""),""halfDexhalfConhalfInthalfWishalfChahalfStr""))),{""halfDex"",max(floor(dexMod/2),1);""halfCon"",max(floor(conMod/2),1);""halfInt"",max(fl"&amp;"oor(intMod/2),1);""halfWis"",max(floor(wisMod/2),1);""halfCha"",max(floor(chaMod/2),1);""halfStr"",max(floor(strMod/2),1)},2,false))))
 ))"),"")</f>
        <v/>
      </c>
      <c r="AR26" s="130" t="str">
        <f>IFERROR(__xludf.DUMMYFUNCTION("if(or(level="""",race="""",dexMod=""-""),"""",
    if(iserror(find(""+"",$BC$5)),$BC$5+if(and(AQ24="""",isnumber(find(""armor of shadows"",lower(AQ61)))),3,0),
    if($BC$5&lt;&gt;""10+dex"",
       int(regexextract($BC$5,""[0-9]+""))
    +sum(arrayformula(vloo"&amp;"kup(filter((split($BC$5,""+"")),isnumber(find(lower(split($BC$5,""+"")),""halfdexhalfconhalfinthalfwishalfchahalfstr""))),{""dex"",dexMod;""con"",conMod;""int"",intMod;""wis"",wisMod;""cha"",chaMod;""str"",strMod;""halfDex"",max(floor(dexMod/2),1);""halfC"&amp;"on"",max(floor(conMod/2),1);""halfInt"",max(floor(intMod/2),1);""halfWis"",max(floor(wisMod/2),1);""halfCha"",max(floor(chaMod/2),1);""halfStr"",max(floor(strMod/2),1)},2,false)))
       +if(not(isnumber($AS$5)),if(regexmatch($AS$5,""\+[0-9]""),
         "&amp;"  if(isnumber(find(""Heavy"",$AS$5)),
              if(isnumber(find(""NoHeavy"",$AS$5)),
              if(isnumber(find(""heavy"",lower($AT$24))),0,int(regexextract($AS$5,""\+[0-9]""))),
              if(iserror(find(""heavy"",lower($AT$24))),0,int(regex"&amp;"extract($AS$5,""\+[0-9]"")))),int(regexextract($AS$5,""\+[0-9]""))),0),0)
       +if(regexmatch($BC$5,""\+[0-9]""),
           if(isnumber(find(""Heavy"",$BC$5)),
              if(isnumber(find(""NoHeavy"",$BC$5)),
              if(isnumber(find(""heavy"""&amp;",lower($AT$24))),0,int(regexextract($BC$5,""\+[0-9]""))),
              if(iserror(find(""heavy"",lower($AT$24))),0,int(regexextract($BC$5,""\+[0-9]"")))),int(regexextract($BC$5,""\+[0-9]""))),0),
    10+dexMod+if(and(AQ24="""",isnumber(find(""armor of sh"&amp;"adows"",lower(AQ61)))),3,0)))
 +sum(filter(AR45:AR56,lower(AT45:AT56)&lt;&gt;""shield"",if(isnumber(find(""no armor"",lower(BA45:BA56))),AQ24="""",1),if(isnumber(find(""no shield"",lower(BA45:BA56))),AQ25="""",1),not(isnumber(find(""armor"",lower(AT45:AT56)))))"&amp;")
 +AR25+if(AW25&lt;&gt;""-"",AW25,0))"),"")</f>
        <v/>
      </c>
      <c r="AS26" s="130" t="str">
        <f>IFERROR(__xludf.DUMMYFUNCTION("if(or(level="""",race="""",dexMod=""-""),"""",
    if(isnumber($AS$5),$AS$5,if($AS$5&lt;&gt;""-"",
    int(regexextract($AS$5,""[0-9]+""))
    +sum(arrayformula(vlookup(filter((split($AS$5,""+"")),isnumber(find(split($AS$5,""+""),""dexconintwischastr""))),{""de"&amp;"x"",dexMod;""con"",conMod;""int"",intMod;""wis"",wisMod;""cha"",chaMod;""str"",strMod},2,false)))
    +iferror(sum(arrayformula(vlookup(filter((split($BC$5,""+"")),isnumber(find(split($BC$5,""+""),""halfDexhalfConhalfInthalfWishalfChahalfStr""))),{""halfD"&amp;"ex"",max(floor(dexMod/2),1);""halfCon"",max(floor(conMod/2),1);""halfInt"",max(floor(intMod/2),1);""halfWis"",max(floor(wisMod/2),1);""halfCha"",max(floor(chaMod/2),1);""halfStr"",max(floor(strMod/2),1)},2,false))),0)
    +if(regexmatch($AS$5,""\+[0-9]"")"&amp;",
    if(isnumber(find(""Heavy"",$AS$5)),
       if(isnumber(find(""NoHeavy"",$AS$5)),
          if(isnumber(find(""heavy"",lower($AT$24))),0,int(regexextract($AS$5,""\+[0-9]""))),
          if(iserror(find(""heavy"",lower($AT$24))),0,int(regexextract($AS"&amp;"$5,""\+[0-9]"")))),int(regexextract($AS$5,""\+[0-9]""))),0),
    10+dexMod
 ))
 +sum(filter(AR45:AR56,lower(AT45:AT56)&lt;&gt;""shield"",if(isnumber(find(""no armor"",lower(BA45:BA56))),AQ24="""",1),if(isnumber(find(""no shield"",lower(BA45:BA56))),AQ25="""",1)"&amp;",not(isnumber(find(""armor"",lower(AT45:AT56))))))
 +AR25+if(AW25&lt;&gt;""-"",AW25,0))"),"")</f>
        <v/>
      </c>
      <c r="AT26" s="130" t="str">
        <f>IFERROR(__xludf.DUMMYFUNCTION("if(or(level="""",race="""",dexMod=""-""),"""",
    if(isnumber($BA$16),$BA$16,if($BA$16&lt;&gt;""-"",
    int(regexextract($BA$16,""[0-9]+""))
    +sum(arrayformula(vlookup(filter((split($BA$16,""+"")),isnumber(find(split($BA$16,""+""),""dexconintwischastr"")))"&amp;",{""dex"",dexMod;""con"",conMod;""int"",intMod;""wis"",wisMod;""cha"",chaMod;""str"",strMod},2,false)))
    +iferror(sum(arrayformula(vlookup(filter((split($BC$5,""+"")),isnumber(find(split($BC$5,""+""),""halfDexhalfConhalfInthalfWishalfChahalfStr""))),{"&amp;"""halfDex"",max(floor(dexMod/2),1);""halfCon"",max(floor(conMod/2),1);""halfInt"",max(floor(intMod/2),1);""halfWis"",max(floor(wisMod/2),1);""halfCha"",max(floor(chaMod/2),1);""halfStr"",max(floor(strMod/2),1)},2,false))),0)
    +if(regexmatch($BA$16,""\+"&amp;"[0-9]""),
    if(isnumber(find(""Heavy"",$BA$16)),
       if(isnumber(find(""NoHeavy"",$BA$16)),
          if(isnumber(find(""heavy"",lower($AT$24))),0,int(regexextract($BA$16,""\+[0-9]""))),
          if(iserror(find(""heavy"",lower($AT$24))),0,int(regex"&amp;"extract($BA$16,""\+[0-9]"")))),int(regexextract($BA$16,""\+[0-9]""))),0),
    10+dexMod
 ))
 +sum(filter(AR45:AR56,lower(AT45:AT56)&lt;&gt;""shield"",if(isnumber(find(""no armor"",lower(BA45:BA56))),AQ24="""",1),if(isnumber(find(""no shield"",lower(BA45:BA56)))"&amp;",AQ25="""",1),not(isnumber(find(""armor"",lower(AT45:AT56))))))
 +AR25+if(AW25&lt;&gt;""-"",AW25,0))"),"")</f>
        <v/>
      </c>
      <c r="AU26" s="3"/>
      <c r="AV26" s="3"/>
      <c r="AW26" s="3"/>
      <c r="AX26" s="3"/>
      <c r="AY26" s="3" t="str">
        <f>IFERROR(__xludf.DUMMYFUNCTION("iferror(sum(arrayformula(int(substitute(regexextract(lower(filter(unique({BA32:BA36;Additional!BA3:BA24}),regexmatch(lower(unique({BA32:BA36;Additional!BA3:BA24})),""[0-9]+ bonus to ability checks""))),""[0-9]+ bonus to ability checks""),"" bonus to abili"&amp;"ty checks"","""")))),"""")"),"")</f>
        <v/>
      </c>
      <c r="AZ26" s="3" t="str">
        <f>IFERROR(__xludf.DUMMYFUNCTION("iferror(sum(arrayformula(int(substitute(regexextract(lower(filter(unique({BA32:BA36;Additional!BA3:BA24}),regexmatch(lower(unique({BA32:BA36;Additional!BA3:BA24})),""[0-9]+ bonus to saving throws""))),""[0-9]+ bonus to saving throws""),"" bonus to saving "&amp;"throws"","""")))),"""")"),"")</f>
        <v/>
      </c>
      <c r="BA26" s="3"/>
      <c r="BB26" s="3"/>
      <c r="BC26" s="3"/>
    </row>
    <row r="27" ht="15.75" customHeight="1">
      <c r="A27" s="106"/>
      <c r="B27" s="61"/>
      <c r="C27" s="62" t="s">
        <v>41</v>
      </c>
      <c r="E27" s="63"/>
      <c r="F27" s="107" t="str">
        <f>IFERROR(__xludf.DUMMYFUNCTION("""COMPUTED_VALUE"""),"")</f>
        <v/>
      </c>
      <c r="H27" s="121">
        <v>0.0</v>
      </c>
      <c r="I27" s="122" t="str">
        <f>IFERROR(__xludf.DUMMYFUNCTION("if(and(proficiencyBonus,indirect(regexextract(lower(concatenate(K27:N27)),""[a-z]{3}"")&amp;""Mod"")&lt;&gt;""-""),
    if(H27&lt;&gt;0,proficiencyBonus*if(H27=""e"",2,1),jackOfAllTrades)
    +indirect(regexextract(lower(concatenate(K27:N27)),""[a-z]{3}"")&amp;""Mod"")
    +"&amp;"$AR$58
    +sum(arrayformula(int(iferror(trim(left(regexextract(lower(filter({BA$32:BA$56;Additional!$BA$3:$BA$24},regexmatch(lower({BA$32:BA$56;Additional!$BA$3:$BA$24}),""[0-9]+ bonus to ""&amp;regexextract(lower(concatenate(K27:N27)),""[a-z]{3}"")&amp;""[a-z]+"&amp;"? .""&amp;lower(J27)))),""[0-9]+ bonus to ""&amp;regexextract(lower(concatenate(K27:N27)),""[a-z]{3}"")&amp;""[a-z]+? .""&amp;lower(J27)),2)),0)))),""-"")"),"-")</f>
        <v>-</v>
      </c>
      <c r="J27" s="123" t="s">
        <v>42</v>
      </c>
      <c r="K27" s="125"/>
      <c r="L27" s="113" t="s">
        <v>43</v>
      </c>
      <c r="M27" s="113"/>
      <c r="N27" s="113"/>
      <c r="P27" s="114"/>
      <c r="Q27" s="61"/>
      <c r="R27" s="131" t="s">
        <v>44</v>
      </c>
      <c r="S27" s="31"/>
      <c r="T27" s="31"/>
      <c r="U27" s="31"/>
      <c r="V27" s="65"/>
      <c r="W27" s="67"/>
      <c r="X27" s="131" t="str">
        <f>if(AND(Y26&lt;&gt;0,Z26&lt;&gt;0,AA26&lt;&gt;0),"DEAD",if(AND(Y25&lt;&gt;0,Z25&lt;&gt;0,AA25&lt;&gt;0),"STABLE","DEATH SAVES"))</f>
        <v>DEATH SAVES</v>
      </c>
      <c r="Y27" s="31"/>
      <c r="Z27" s="31"/>
      <c r="AA27" s="31"/>
      <c r="AB27" s="63"/>
      <c r="AC27" s="56"/>
      <c r="AD27" s="61"/>
      <c r="AE27" s="132" t="s">
        <v>45</v>
      </c>
      <c r="AF27" s="84"/>
      <c r="AG27" s="84"/>
      <c r="AH27" s="84"/>
      <c r="AI27" s="84"/>
      <c r="AJ27" s="84"/>
      <c r="AK27" s="84"/>
      <c r="AL27" s="84"/>
      <c r="AM27" s="84"/>
      <c r="AN27" s="84"/>
      <c r="AO27" s="63"/>
      <c r="AP27" s="12"/>
      <c r="AQ27" s="3"/>
      <c r="AR27" s="3"/>
      <c r="AS27" s="3"/>
      <c r="AT27" s="3"/>
      <c r="AU27" s="3"/>
      <c r="AV27" s="3"/>
      <c r="AW27" s="3"/>
      <c r="AX27" s="3"/>
      <c r="AY27" s="3"/>
      <c r="AZ27" s="3"/>
      <c r="BA27" s="3"/>
      <c r="BB27" s="3"/>
      <c r="BC27" s="3"/>
    </row>
    <row r="28" ht="15.75" customHeight="1">
      <c r="A28" s="106"/>
      <c r="B28" s="61"/>
      <c r="C28" s="71" t="str">
        <f>if(C30="-","-",INT((C30-10)/2))</f>
        <v>-</v>
      </c>
      <c r="E28" s="63"/>
      <c r="F28" s="107" t="str">
        <f>IFERROR(__xludf.DUMMYFUNCTION("""COMPUTED_VALUE"""),"")</f>
        <v/>
      </c>
      <c r="H28" s="121">
        <v>0.0</v>
      </c>
      <c r="I28" s="122" t="str">
        <f>IFERROR(__xludf.DUMMYFUNCTION("if(and(proficiencyBonus,indirect(regexextract(lower(concatenate(K28:N28)),""[a-z]{3}"")&amp;""Mod"")&lt;&gt;""-""),
    if(H28&lt;&gt;0,proficiencyBonus*if(H28=""e"",2,1),max(jackOfAllTrades,iferror(if(and(vlookup(""Fighter"",$AR$6:$AS$15,2,false)=""Champion"",FighterLev"&amp;"el&gt;=7),CEILING(proficiencyBonus/2),0),0)))
    +indirect(regexextract(lower(concatenate(K28:N28)),""[a-z]{3}"")&amp;""Mod"")
    +$AR$58
    +sum(arrayformula(int(iferror(trim(left(regexextract(lower(filter({BA$32:BA$56;Additional!$BA$3:$BA$24},regexmatch(low"&amp;"er({BA$32:BA$56;Additional!$BA$3:$BA$24}),""[0-9]+ bonus to ""&amp;regexextract(lower(concatenate(K28:N28)),""[a-z]{3}"")&amp;""[a-z]+? .""&amp;lower(J28)))),""[0-9]+ bonus to ""&amp;regexextract(lower(concatenate(K28:N28)),""[a-z]{3}"")&amp;""[a-z]+? .""&amp;lower(J28)),2)),0))"&amp;")),""-"")"),"-")</f>
        <v>-</v>
      </c>
      <c r="J28" s="133" t="s">
        <v>46</v>
      </c>
      <c r="K28" s="134"/>
      <c r="L28" s="135"/>
      <c r="M28" s="113" t="s">
        <v>47</v>
      </c>
      <c r="N28" s="113"/>
      <c r="P28" s="114"/>
      <c r="Q28" s="61"/>
      <c r="R28" s="136"/>
      <c r="S28" s="42"/>
      <c r="T28" s="42"/>
      <c r="U28" s="42"/>
      <c r="V28" s="65"/>
      <c r="W28" s="67"/>
      <c r="X28" s="136"/>
      <c r="Y28" s="42"/>
      <c r="Z28" s="42"/>
      <c r="AA28" s="42"/>
      <c r="AB28" s="63"/>
      <c r="AC28" s="56"/>
      <c r="AD28" s="137"/>
      <c r="AE28" s="58" t="s">
        <v>48</v>
      </c>
      <c r="AJ28" s="138"/>
      <c r="AO28" s="43"/>
      <c r="AP28" s="12"/>
      <c r="AQ28" s="3"/>
      <c r="AR28" s="3"/>
      <c r="AS28" s="3"/>
      <c r="AT28" s="3"/>
      <c r="AU28" s="3"/>
      <c r="AV28" s="3"/>
      <c r="AW28" s="3"/>
      <c r="AX28" s="3"/>
      <c r="AY28" s="3"/>
      <c r="AZ28" s="3"/>
      <c r="BA28" s="3"/>
      <c r="BB28" s="3"/>
      <c r="BC28" s="3"/>
    </row>
    <row r="29" ht="15.75" customHeight="1">
      <c r="A29" s="106"/>
      <c r="B29" s="61"/>
      <c r="E29" s="63"/>
      <c r="F29" s="107" t="str">
        <f>IFERROR(__xludf.DUMMYFUNCTION("""COMPUTED_VALUE"""),"")</f>
        <v/>
      </c>
      <c r="H29" s="121">
        <v>0.0</v>
      </c>
      <c r="I29" s="122" t="str">
        <f>IFERROR(__xludf.DUMMYFUNCTION("if(and(proficiencyBonus,indirect(regexextract(lower(concatenate(K29:N29)),""[a-z]{3}"")&amp;""Mod"")&lt;&gt;""-""),
    if(H29&lt;&gt;0,proficiencyBonus*if(H29=""e"",2,1),jackOfAllTrades)
    +indirect(regexextract(lower(concatenate(K29:N29)),""[a-z]{3}"")&amp;""Mod"")
    +"&amp;"$AR$58
    +sum(arrayformula(int(iferror(trim(left(regexextract(lower(filter({BA$32:BA$56;Additional!$BA$3:$BA$24},regexmatch(lower({BA$32:BA$56;Additional!$BA$3:$BA$24}),""[0-9]+ bonus to ""&amp;regexextract(lower(concatenate(K29:N29)),""[a-z]{3}"")&amp;""[a-z]+"&amp;"? .""&amp;lower(J29)))),""[0-9]+ bonus to ""&amp;regexextract(lower(concatenate(K29:N29)),""[a-z]{3}"")&amp;""[a-z]+? .""&amp;lower(J29)),2)),0)))),""-"")"),"-")</f>
        <v>-</v>
      </c>
      <c r="J29" s="123" t="s">
        <v>49</v>
      </c>
      <c r="K29" s="134"/>
      <c r="L29" s="134"/>
      <c r="M29" s="113" t="s">
        <v>50</v>
      </c>
      <c r="N29" s="113"/>
      <c r="P29" s="114"/>
      <c r="Q29" s="139" t="str">
        <f>IMAGE("https://i.imgur.com/pxrdqMy.png",2)</f>
        <v/>
      </c>
      <c r="R29" s="140"/>
      <c r="S29" s="140"/>
      <c r="T29" s="140"/>
      <c r="U29" s="140"/>
      <c r="V29" s="140"/>
      <c r="W29" s="140"/>
      <c r="X29" s="140"/>
      <c r="Y29" s="140"/>
      <c r="Z29" s="140"/>
      <c r="AA29" s="140"/>
      <c r="AB29" s="141"/>
      <c r="AC29" s="56"/>
      <c r="AD29" s="142" t="str">
        <f>IMAGE("https://i.imgur.com/pxrdqMy.png",2)</f>
        <v/>
      </c>
      <c r="AO29" s="63"/>
      <c r="AP29" s="12"/>
      <c r="AQ29" s="3"/>
      <c r="AR29" s="3"/>
      <c r="AS29" s="3"/>
      <c r="AT29" s="3"/>
      <c r="AU29" s="3"/>
      <c r="AV29" s="3"/>
      <c r="AW29" s="3"/>
      <c r="AX29" s="3"/>
      <c r="AY29" s="3"/>
      <c r="AZ29" s="3"/>
      <c r="BA29" s="3"/>
      <c r="BB29" s="3"/>
      <c r="BC29" s="3"/>
    </row>
    <row r="30" ht="15.75" customHeight="1">
      <c r="A30" s="106"/>
      <c r="B30" s="61"/>
      <c r="C30" s="79" t="str">
        <f>IFERROR(__xludf.DUMMYFUNCTION("if(C31,min(30,max(
iferror(int(trim(right(regexextract(Additional!$AR$79,lower(C27)&amp;""[a-z]+? score is [0-9]+""),2))),0),
iferror(int(trim(right(regexextract(Additional!$AR$79,lower(C27)&amp;""[a-z]+? score changes to [0-9]+""),2))),0),
min(iferror(int(trim(r"&amp;"ight(regexextract(Additional!$AR$79,lower(C27)&amp;""[a-z]+? [a-z ]+maximum of [0-9]+?""),2))),20),
C31+
iferror(if(find(regexextract($AR$5,lower(C27)&amp;"" \+[0-9]""),$AR$5)&lt;iferror(find(""choose"",lower($AR$5)),len($AR$5)),int(right(regexextract($AR$5,lower(C2"&amp;"7)&amp;"" \+[0-9]""),1)),0),0)-
iferror(if(find(regexextract($AR$5,lower(C27)&amp;"" \-[0-9]""),$AR$5)&lt;iferror(find(""choose"",lower($AR$5)),len($AR$5)),int(right(regexextract($AR$5,lower(C27)&amp;"" \-[0-9]""),1)),0),0)
+D31))
+sum(arrayformula(int(iferror(trim(righ"&amp;"t(regexextract(lower(filter({BA$32:BA$56;Additional!$BA$3:$BA$24},regexmatch(lower({BA$32:BA$56;Additional!$BA$3:$BA$24}),lower(C27)&amp;""[a-z]+? score increases by [0-9]+""))),lower(C27)&amp;""[a-z]+? score increases by [0-9]+""),2)),0))))),""-"")"),"-")</f>
        <v>-</v>
      </c>
      <c r="D30" s="80"/>
      <c r="E30" s="63"/>
      <c r="F30" s="107" t="str">
        <f>IFERROR(__xludf.DUMMYFUNCTION("""COMPUTED_VALUE"""),"")</f>
        <v/>
      </c>
      <c r="H30" s="121">
        <v>0.0</v>
      </c>
      <c r="I30" s="122" t="str">
        <f>IFERROR(__xludf.DUMMYFUNCTION("if(and(proficiencyBonus,indirect(regexextract(lower(concatenate(K30:N30)),""[a-z]{3}"")&amp;""Mod"")&lt;&gt;""-""),
    if(H30&lt;&gt;0,proficiencyBonus*if(H30=""e"",2,1),jackOfAllTrades)
    +indirect(regexextract(lower(concatenate(K30:N30)),""[a-z]{3}"")&amp;""Mod"")
    +"&amp;"$AR$58
    +sum(arrayformula(int(iferror(trim(left(regexextract(lower(filter({BA$32:BA$56;Additional!$BA$3:$BA$24},regexmatch(lower({BA$32:BA$56;Additional!$BA$3:$BA$24}),""[0-9]+ bonus to ""&amp;regexextract(lower(concatenate(K30:N30)),""[a-z]{3}"")&amp;""[a-z]+"&amp;"? .""&amp;lower(J30)))),""[0-9]+ bonus to ""&amp;regexextract(lower(concatenate(K30:N30)),""[a-z]{3}"")&amp;""[a-z]+? .""&amp;lower(J30)),2)),0)))),""-"")"),"-")</f>
        <v>-</v>
      </c>
      <c r="J30" s="123" t="s">
        <v>51</v>
      </c>
      <c r="K30" s="134"/>
      <c r="L30" s="135" t="s">
        <v>52</v>
      </c>
      <c r="M30" s="113"/>
      <c r="N30" s="113"/>
      <c r="P30" s="143"/>
      <c r="Q30" s="144" t="str">
        <f>IMAGE("https://i.imgur.com/AaGmGAX.png",4, 608, 20)</f>
        <v/>
      </c>
      <c r="R30" s="145"/>
      <c r="S30" s="145"/>
      <c r="T30" s="146"/>
      <c r="U30" s="145"/>
      <c r="V30" s="145"/>
      <c r="W30" s="145"/>
      <c r="X30" s="145"/>
      <c r="Y30" s="145"/>
      <c r="Z30" s="145"/>
      <c r="AA30" s="145"/>
      <c r="AB30" s="145"/>
      <c r="AC30" s="56"/>
      <c r="AD30" s="5"/>
      <c r="AE30" s="5"/>
      <c r="AF30" s="5"/>
      <c r="AG30" s="144"/>
      <c r="AH30" s="144"/>
      <c r="AI30" s="5"/>
      <c r="AJ30" s="5"/>
      <c r="AK30" s="5"/>
      <c r="AL30" s="5"/>
      <c r="AM30" s="5"/>
      <c r="AN30" s="5"/>
      <c r="AO30" s="147" t="str">
        <f>image("https://i.imgur.com/H6Xrt2L.png",4, 1196, 20)</f>
        <v/>
      </c>
      <c r="AP30" s="12"/>
      <c r="AQ30" s="3"/>
      <c r="AR30" s="3"/>
      <c r="AS30" s="3"/>
      <c r="AT30" s="3"/>
      <c r="AU30" s="3"/>
      <c r="AV30" s="3"/>
      <c r="AW30" s="3"/>
      <c r="AX30" s="3"/>
      <c r="AY30" s="3"/>
      <c r="AZ30" s="3"/>
      <c r="BA30" s="3"/>
      <c r="BB30" s="3"/>
      <c r="BC30" s="3"/>
    </row>
    <row r="31" ht="15.75" customHeight="1">
      <c r="A31" s="106"/>
      <c r="B31" s="61"/>
      <c r="C31" s="85">
        <v>0.0</v>
      </c>
      <c r="D31" s="86"/>
      <c r="E31" s="63"/>
      <c r="F31" s="107" t="str">
        <f>IFERROR(__xludf.DUMMYFUNCTION("""COMPUTED_VALUE"""),"")</f>
        <v/>
      </c>
      <c r="H31" s="121">
        <v>0.0</v>
      </c>
      <c r="I31" s="122" t="str">
        <f>IFERROR(__xludf.DUMMYFUNCTION("if(and(proficiencyBonus,indirect(regexextract(lower(concatenate(K31:N31)),""[a-z]{3}"")&amp;""Mod"")&lt;&gt;""-""),
    if(H31&lt;&gt;0,proficiencyBonus*if(H31=""e"",2,1),jackOfAllTrades)
    +indirect(regexextract(lower(concatenate(K31:N31)),""[a-z]{3}"")&amp;""Mod"")
    +"&amp;"$AR$58
    +sum(arrayformula(int(iferror(trim(left(regexextract(lower(filter({BA$32:BA$56;Additional!$BA$3:$BA$24},regexmatch(lower({BA$32:BA$56;Additional!$BA$3:$BA$24}),""[0-9]+ bonus to ""&amp;regexextract(lower(concatenate(K31:N31)),""[a-z]{3}"")&amp;""[a-z]+"&amp;"? .""&amp;lower(J31)))),""[0-9]+ bonus to ""&amp;regexextract(lower(concatenate(K31:N31)),""[a-z]{3}"")&amp;""[a-z]+? .""&amp;lower(J31)),2)),0)))),""-"")"),"-")</f>
        <v>-</v>
      </c>
      <c r="J31" s="123" t="s">
        <v>53</v>
      </c>
      <c r="K31" s="134"/>
      <c r="L31" s="113" t="s">
        <v>54</v>
      </c>
      <c r="M31" s="113"/>
      <c r="N31" s="113"/>
      <c r="P31" s="114"/>
      <c r="R31" s="148" t="s">
        <v>55</v>
      </c>
      <c r="S31" s="25"/>
      <c r="T31" s="25"/>
      <c r="U31" s="25"/>
      <c r="V31" s="25"/>
      <c r="W31" s="25"/>
      <c r="X31" s="149"/>
      <c r="Y31" s="148" t="s">
        <v>56</v>
      </c>
      <c r="Z31" s="25"/>
      <c r="AA31" s="25"/>
      <c r="AB31" s="150"/>
      <c r="AC31" s="148" t="s">
        <v>57</v>
      </c>
      <c r="AD31" s="25"/>
      <c r="AE31" s="25"/>
      <c r="AF31" s="25"/>
      <c r="AG31" s="25"/>
      <c r="AH31" s="25"/>
      <c r="AI31" s="25"/>
      <c r="AJ31" s="25"/>
      <c r="AK31" s="25"/>
      <c r="AL31" s="25"/>
      <c r="AM31" s="25"/>
      <c r="AN31" s="25"/>
      <c r="AP31" s="12"/>
      <c r="AQ31" s="3"/>
      <c r="AR31" s="3"/>
      <c r="AS31" s="3"/>
      <c r="AT31" s="3"/>
      <c r="AU31" s="3"/>
      <c r="AV31" s="3"/>
      <c r="AW31" s="3"/>
      <c r="AX31" s="3"/>
      <c r="AY31" s="3"/>
      <c r="AZ31" s="3"/>
      <c r="BA31" s="3"/>
      <c r="BB31" s="3"/>
      <c r="BC31" s="3"/>
    </row>
    <row r="32" ht="15.75" customHeight="1">
      <c r="A32" s="106"/>
      <c r="B32" s="61"/>
      <c r="C32" s="62" t="s">
        <v>58</v>
      </c>
      <c r="E32" s="63"/>
      <c r="F32" s="107" t="str">
        <f>IFERROR(__xludf.DUMMYFUNCTION("""COMPUTED_VALUE"""),"")</f>
        <v/>
      </c>
      <c r="H32" s="121">
        <v>0.0</v>
      </c>
      <c r="I32" s="122" t="str">
        <f>IFERROR(__xludf.DUMMYFUNCTION("if(and(proficiencyBonus,indirect(regexextract(lower(concatenate(K32:N32)),""[a-z]{3}"")&amp;""Mod"")&lt;&gt;""-""),
    if(H32&lt;&gt;0,proficiencyBonus*if(H32=""e"",2,1),jackOfAllTrades)
    +indirect(regexextract(lower(concatenate(K32:N32)),""[a-z]{3}"")&amp;""Mod"")
    +"&amp;"$AR$58
    +sum(arrayformula(int(iferror(trim(left(regexextract(lower(filter({BA$32:BA$56;Additional!$BA$3:$BA$24},regexmatch(lower({BA$32:BA$56;Additional!$BA$3:$BA$24}),""[0-9]+ bonus to ""&amp;regexextract(lower(concatenate(K32:N32)),""[a-z]{3}"")&amp;""[a-z]+"&amp;"? .""&amp;lower(J32)))),""[0-9]+ bonus to ""&amp;regexextract(lower(concatenate(K32:N32)),""[a-z]{3}"")&amp;""[a-z]+? .""&amp;lower(J32)),2)),0)))),""-"")"),"-")</f>
        <v>-</v>
      </c>
      <c r="J32" s="123" t="s">
        <v>59</v>
      </c>
      <c r="K32" s="134"/>
      <c r="L32" s="134"/>
      <c r="M32" s="135" t="s">
        <v>60</v>
      </c>
      <c r="N32" s="113"/>
      <c r="P32" s="114"/>
      <c r="R32" s="151"/>
      <c r="S32" s="152"/>
      <c r="T32" s="152"/>
      <c r="U32" s="152"/>
      <c r="V32" s="152"/>
      <c r="W32" s="152"/>
      <c r="X32" s="153" t="str">
        <f t="shared" ref="X32:X36" si="1">IMAGE("http://i.imgur.com/qlVxTyw.png",3)</f>
        <v/>
      </c>
      <c r="Y32" s="154" t="str">
        <f>IFERROR(__xludf.DUMMYFUNCTION("if(and(proficiencyBonus,$AQ32&lt;&gt;"""",$BC32&lt;&gt;""-""),
        if(or(
              isnumber(find(""unarmed"",lower($AT32))),
              isnumber(find(""natural"",lower($AT32))),
              isnumber(find(""spell"",lower($AT32))),
              and(isnum"&amp;"ber(find(""improvised"",lower($AQ32))),isnumber(find(""brawler"",feats))),
              isnumber(find(lower($AT32),lower(weaponProficiencies))),
              not(isna(filter(arrayformula(trim(split(lower(weaponProficiencies),"",""))),isnumber(find(array"&amp;"formula(trim(split(lower(weaponProficiencies),"",""))),lower($AQ32))))))
           ),
           proficiencyBonus,
           0
        )
        +if(lower($AU32)=""ranged"",archery+closeQuarters,0)
        +if(isnumber(find(""spell"",lower($AT32))),v2.1"&amp;"!$AR$91,0)
        +$BC32,
        ""-""
    )"),"-")</f>
        <v>-</v>
      </c>
      <c r="Z32" s="152"/>
      <c r="AA32" s="152"/>
      <c r="AB32" s="153" t="str">
        <f t="shared" ref="AB32:AB36" si="2">IMAGE("http://i.imgur.com/qlVxTyw.png",3)</f>
        <v/>
      </c>
      <c r="AC32" s="155" t="str">
        <f>IFERROR(__xludf.DUMMYFUNCTION("substitute(if(and($AQ32&lt;&gt;"""",proficiencyBonus&lt;&gt;""""),
 $AR32&amp;if(and(""melee""=lower($AU32),lower($AT32)&lt;&gt;""unarmed"",isnumber(find(""two-handed"",lower($R32&amp;$BA32)))),greatWeaponFighting,"""")
&amp;if($AR32&lt;&gt;0,""+""
&amp;if($BB32&lt;&gt;""〇"",$BC32,if($AW32&lt;&gt;""-"",$AW"&amp;"32,0))
+int(iferror(regexextract(regexextract(Additional!$AR$79,""proficiency with[a-z ]+""&amp;lower(array_constrain(filter('Attack Info'!$B$7:$B180,'Attack Info'!$B$7:$B180&lt;&gt;"""",isnumber(find(lower('Attack Info'!$B$7:$B180),lower($AQ32)))),1,1))&amp;""[a-z, ]+"&amp;"\+[0-9]+ bonus to damage[a-z ]+with such weapons""),""[0-9]+?""),0))
+int(iferror(regexextract(regexextract(Additional!$AR$79,""\+[0-9] bonus to damage[a-z ]+""&amp;lower(array_constrain(filter('Attack Info'!$B$7:$B180,'Attack Info'!$B$7:$B180&lt;&gt;"""",isnumber("&amp;"find(lower('Attack Info'!$B$7:$B180),lower($AQ32)))),1,1))),""[0-9]+?""),0))
+if(and(isnumber(find(""melee"",lower($AU32))),iserror(find(""unarmed"",lower($AT32))),iserror(find(""natural"",lower($AT32))),iserror(find(""two-handed"",lower($R32&amp;$BA32)))),du"&amp;"eling,0)
+if(isnumber(find(""thrown"",lower($BA32))),thrown,0)
&amp;""[""&amp;$AS32&amp;""]"","""")
&amp;if(and(PaladinLevel&gt;=11,isnumber(find(""melee"",lower($AU32))),isnumber(find(lower($AT32),""simplemartial""))),""+1d8[radiant]"","""")
&amp;if($AX32&lt;&gt;""-"",""+""&amp;$AX32&amp;"""&amp;"[""&amp;$AY32&amp;""]"","""")
&amp;if(and(isnumber(find(""pact"",lower($AQ32))),isnumber(find(""lifedrinker"",lower(invocations)))),""+""&amp;chaMod&amp;""[necrotic]"","""")
&amp;""|***""&amp;textjoin("" "",True,if(and($AT32&lt;&gt;""-"",$AT32&lt;&gt;""Spell""),$AT32,""""),if($AU32&lt;&gt;""-"",$AU32"&amp;",""""),if($AT32=""Spell"",$AT32,if(and($AT32&lt;&gt;""Unarmed"",$AT32&lt;&gt;""Natural""),""Weapon"","""")))&amp;"" Attack.***""
&amp;if($BA32&lt;&gt;""-"",""
""&amp;$BA32,"""")
&amp;if(and(isnumber(find(""melee"",lower($AU32))),iserror(find(""unarmed"",lower($AT32))),iserror(find(""natur"&amp;"al"",lower($AT32))),iserror(find(""two-handed"",lower($R32&amp;$AV32)))),""
""&amp;duelingText,"""")
&amp;if(and(or(lower($AT32)=""unarmed"",lower($AT32)=""natural""),unarmedFighting),""
""&amp;unarmedText,"""")
&amp;if(and(""melee""=lower($AU32),lower($AT32)&lt;&gt;""unarmed"",is"&amp;"number(find(""two-handed"",lower($R32&amp;$BA32)))),""
""&amp;gwfText,"""")
&amp;if(and(isnumber(find(""offhand"",lower($R32))),twoWeaponFighting),""
""&amp;twfText,"""")
&amp;if(and(lower($AU32)=""ranged"",lower($AT32)&lt;&gt;""spell""),if(archeryText&lt;&gt;"""",""
""&amp;archeryText,"""""&amp;")&amp;if(closeQuartersText&lt;&gt;"""",""
""&amp;closeQuartersText,""""),"""")
&amp;if(isnumber(find(""thrown"",lower($BA32))),""
""&amp;thrownText,""""),""                 -""),""+0"","""")"),"                 -")</f>
        <v>                 -</v>
      </c>
      <c r="AD32" s="156"/>
      <c r="AE32" s="156"/>
      <c r="AF32" s="156"/>
      <c r="AG32" s="156"/>
      <c r="AH32" s="156"/>
      <c r="AI32" s="156"/>
      <c r="AJ32" s="156"/>
      <c r="AK32" s="156"/>
      <c r="AL32" s="156"/>
      <c r="AM32" s="156"/>
      <c r="AN32" s="156"/>
      <c r="AP32" s="12"/>
      <c r="AQ32" s="3" t="str">
        <f>IFERROR(__xludf.DUMMYFUNCTION("iferror(array_constrain(split(textjoin(""~"",True,filter('Attack Info'!$B$7:$AN180,'Attack Info'!$B$7:$B180&lt;&gt;"""",lower('Attack Info'!$B$7:$B180)=lower(R32))),""~""),1,12),"""")"),"")</f>
        <v/>
      </c>
      <c r="AR32" s="3"/>
      <c r="AS32" s="3"/>
      <c r="AT32" s="3"/>
      <c r="AU32" s="157"/>
      <c r="AV32" s="3"/>
      <c r="AW32" s="3"/>
      <c r="AX32" s="3"/>
      <c r="AY32" s="3"/>
      <c r="AZ32" s="3"/>
      <c r="BA32" s="3"/>
      <c r="BB32" s="3"/>
      <c r="BC32" s="158" t="str">
        <f t="array" ref="BC32">if(and(strMod&lt;&gt;"-",dexMod&lt;&gt;"-"),if($AQ32&lt;&gt;"",if($AW32&lt;&gt;"-",$AW32,0)
+if(isnumber(find(lower($AZ32),"strdexconintwischa")),if(indirect(lower($AZ32)&amp;"Mod")&lt;&gt;"-",indirect(lower($AZ32)&amp;"Mod"),0),
if(or(isnumber(find("finesse",lower($BA32))),and($AV32&lt;&gt;"〇",MonkLevel&lt;&gt;"",MonkLevel&gt;0)),max(strMod,dexMod),if(lower($AU32)="ranged",dexMod,strMod))),""),"-")</f>
        <v>-</v>
      </c>
    </row>
    <row r="33" ht="15.75" customHeight="1">
      <c r="A33" s="106"/>
      <c r="B33" s="61"/>
      <c r="C33" s="71" t="str">
        <f>if(C35="-","-",INT((C35-10)/2))</f>
        <v>-</v>
      </c>
      <c r="E33" s="63"/>
      <c r="F33" s="107" t="str">
        <f>IFERROR(__xludf.DUMMYFUNCTION("""COMPUTED_VALUE"""),"")</f>
        <v/>
      </c>
      <c r="H33" s="121">
        <v>0.0</v>
      </c>
      <c r="I33" s="122" t="str">
        <f>IFERROR(__xludf.DUMMYFUNCTION("if(and(proficiencyBonus,indirect(regexextract(lower(concatenate(K33:N33)),""[a-z]{3}"")&amp;""Mod"")&lt;&gt;""-""),
    if(H33&lt;&gt;0,proficiencyBonus*if(H33=""e"",2,1),jackOfAllTrades)
    +indirect(regexextract(lower(concatenate(K33:N33)),""[a-z]{3}"")&amp;""Mod"")
    +"&amp;"$AR$58
    +sum(arrayformula(int(iferror(trim(left(regexextract(lower(filter({BA$32:BA$56;Additional!$BA$3:$BA$24},regexmatch(lower({BA$32:BA$56;Additional!$BA$3:$BA$24}),""[0-9]+ bonus to ""&amp;regexextract(lower(concatenate(K33:N33)),""[a-z]{3}"")&amp;""[a-z]+"&amp;"? .""&amp;lower(J33)))),""[0-9]+ bonus to ""&amp;regexextract(lower(concatenate(K33:N33)),""[a-z]{3}"")&amp;""[a-z]+? .""&amp;lower(J33)),2)),0)))),""-"")"),"-")</f>
        <v>-</v>
      </c>
      <c r="J33" s="123" t="s">
        <v>61</v>
      </c>
      <c r="K33" s="134"/>
      <c r="L33" s="134"/>
      <c r="M33" s="135" t="s">
        <v>62</v>
      </c>
      <c r="N33" s="113"/>
      <c r="P33" s="114"/>
      <c r="R33" s="151"/>
      <c r="S33" s="152"/>
      <c r="T33" s="152"/>
      <c r="U33" s="152"/>
      <c r="V33" s="152"/>
      <c r="W33" s="152"/>
      <c r="X33" s="153" t="str">
        <f t="shared" si="1"/>
        <v/>
      </c>
      <c r="Y33" s="154" t="str">
        <f>IFERROR(__xludf.DUMMYFUNCTION("if(and(proficiencyBonus,$AQ33&lt;&gt;"""",$BC33&lt;&gt;""-""),
        if(or(
              isnumber(find(""unarmed"",lower($AT33))),
              isnumber(find(""natural"",lower($AT33))),
              isnumber(find(""spell"",lower($AT33))),
              and(isnum"&amp;"ber(find(""improvised"",lower($AQ33))),isnumber(find(""brawler"",feats))),
              isnumber(find(lower($AT33),lower(weaponProficiencies))),
              not(isna(filter(arrayformula(trim(split(lower(weaponProficiencies),"",""))),isnumber(find(array"&amp;"formula(trim(split(lower(weaponProficiencies),"",""))),lower($AQ33))))))
           ),
           proficiencyBonus,
           0
        )
        +if(lower($AU33)=""ranged"",archery+closeQuarters,0)
        +if(isnumber(find(""spell"",lower($AT33))),v2.1"&amp;"!$AR$91,0)
        +$BC33,
        ""-""
    )"),"-")</f>
        <v>-</v>
      </c>
      <c r="Z33" s="152"/>
      <c r="AA33" s="152"/>
      <c r="AB33" s="153" t="str">
        <f t="shared" si="2"/>
        <v/>
      </c>
      <c r="AC33" s="155" t="str">
        <f>IFERROR(__xludf.DUMMYFUNCTION("substitute(if(and($AQ33&lt;&gt;"""",proficiencyBonus&lt;&gt;""""),
 $AR33&amp;if(and(""melee""=lower($AU33),lower($AT33)&lt;&gt;""unarmed"",isnumber(find(""two-handed"",lower($R33&amp;$BA33)))),greatWeaponFighting,"""")
&amp;if($AR33&lt;&gt;0,""+""
&amp;if($BB33&lt;&gt;""〇"",$BC33,if($AW33&lt;&gt;""-"",$AW"&amp;"33,0))
+int(iferror(regexextract(regexextract(Additional!$AR$79,""proficiency with[a-z ]+""&amp;lower(array_constrain(filter('Attack Info'!$B$7:$B180,'Attack Info'!$B$7:$B180&lt;&gt;"""",isnumber(find(lower('Attack Info'!$B$7:$B180),lower($AQ33)))),1,1))&amp;""[a-z, ]+"&amp;"\+[0-9]+ bonus to damage[a-z ]+with such weapons""),""[0-9]+?""),0))
+int(iferror(regexextract(regexextract(Additional!$AR$79,""\+[0-9] bonus to damage[a-z ]+""&amp;lower(array_constrain(filter('Attack Info'!$B$7:$B180,'Attack Info'!$B$7:$B180&lt;&gt;"""",isnumber("&amp;"find(lower('Attack Info'!$B$7:$B180),lower($AQ33)))),1,1))),""[0-9]+?""),0))
+if(and(isnumber(find(""melee"",lower($AU33))),iserror(find(""unarmed"",lower($AT33))),iserror(find(""natural"",lower($AT33))),iserror(find(""two-handed"",lower($R33&amp;$BA33)))),du"&amp;"eling,0)
+if(isnumber(find(""thrown"",lower($BA33))),thrown,0)
&amp;""[""&amp;$AS33&amp;""]"","""")
&amp;if(and(PaladinLevel&gt;=11,isnumber(find(""melee"",lower($AU33))),isnumber(find(lower($AT33),""simplemartial""))),""+1d8[radiant]"","""")
&amp;if($AX33&lt;&gt;""-"",""+""&amp;$AX33&amp;"""&amp;"[""&amp;$AY33&amp;""]"","""")
&amp;if(and(isnumber(find(""pact"",lower($AQ33))),isnumber(find(""lifedrinker"",lower(invocations)))),""+""&amp;chaMod&amp;""[necrotic]"","""")
&amp;""|***""&amp;textjoin("" "",True,if(and($AT33&lt;&gt;""-"",$AT33&lt;&gt;""Spell""),$AT33,""""),if($AU33&lt;&gt;""-"",$AU33"&amp;",""""),if($AT33=""Spell"",$AT33,if(and($AT33&lt;&gt;""Unarmed"",$AT33&lt;&gt;""Natural""),""Weapon"","""")))&amp;"" Attack.***""
&amp;if($BA33&lt;&gt;""-"",""
""&amp;$BA33,"""")
&amp;if(and(isnumber(find(""melee"",lower($AU33))),iserror(find(""unarmed"",lower($AT33))),iserror(find(""natur"&amp;"al"",lower($AT33))),iserror(find(""two-handed"",lower($R33&amp;$AV33)))),""
""&amp;duelingText,"""")
&amp;if(and(or(lower($AT33)=""unarmed"",lower($AT33)=""natural""),unarmedFighting),""
""&amp;unarmedText,"""")
&amp;if(and(""melee""=lower($AU33),lower($AT33)&lt;&gt;""unarmed"",is"&amp;"number(find(""two-handed"",lower($R33&amp;$BA33)))),""
""&amp;gwfText,"""")
&amp;if(and(isnumber(find(""offhand"",lower($R33))),twoWeaponFighting),""
""&amp;twfText,"""")
&amp;if(and(lower($AU33)=""ranged"",lower($AT33)&lt;&gt;""spell""),if(archeryText&lt;&gt;"""",""
""&amp;archeryText,"""""&amp;")&amp;if(closeQuartersText&lt;&gt;"""",""
""&amp;closeQuartersText,""""),"""")
&amp;if(isnumber(find(""thrown"",lower($BA33))),""
""&amp;thrownText,""""),""                 -""),""+0"","""")"),"                 -")</f>
        <v>                 -</v>
      </c>
      <c r="AD33" s="156"/>
      <c r="AE33" s="156"/>
      <c r="AF33" s="156"/>
      <c r="AG33" s="156"/>
      <c r="AH33" s="156"/>
      <c r="AI33" s="156"/>
      <c r="AJ33" s="156"/>
      <c r="AK33" s="156"/>
      <c r="AL33" s="156"/>
      <c r="AM33" s="156"/>
      <c r="AN33" s="156"/>
      <c r="AP33" s="12"/>
      <c r="AQ33" s="3" t="str">
        <f>IFERROR(__xludf.DUMMYFUNCTION("iferror(array_constrain(split(textjoin(""~"",True,filter('Attack Info'!$B$7:$AN180,'Attack Info'!$B$7:$B180&lt;&gt;"""",lower('Attack Info'!$B$7:$B180)=lower(R33))),""~""),1,12),"""")"),"")</f>
        <v/>
      </c>
      <c r="AR33" s="3"/>
      <c r="AS33" s="3"/>
      <c r="AT33" s="3"/>
      <c r="AU33" s="157"/>
      <c r="AV33" s="3"/>
      <c r="AW33" s="3"/>
      <c r="AX33" s="3"/>
      <c r="AY33" s="3"/>
      <c r="AZ33" s="3"/>
      <c r="BA33" s="3"/>
      <c r="BB33" s="3"/>
      <c r="BC33" s="158" t="str">
        <f t="array" ref="BC33">if(and(strMod&lt;&gt;"-",dexMod&lt;&gt;"-"),if($AQ33&lt;&gt;"",if($AW33&lt;&gt;"-",$AW33,0)
+if(isnumber(find(lower($AZ33),"strdexconintwischa")),if(indirect(lower($AZ33)&amp;"Mod")&lt;&gt;"-",indirect(lower($AZ33)&amp;"Mod"),0),
if(or(isnumber(find("finesse",lower($BA33))),and($AV33&lt;&gt;"〇",MonkLevel&lt;&gt;"",MonkLevel&gt;0)),max(strMod,dexMod),if(lower($AU33)="ranged",dexMod,strMod))),""),"-")</f>
        <v>-</v>
      </c>
    </row>
    <row r="34" ht="15.75" customHeight="1">
      <c r="A34" s="106"/>
      <c r="B34" s="61"/>
      <c r="E34" s="63"/>
      <c r="F34" s="107" t="str">
        <f>IFERROR(__xludf.DUMMYFUNCTION("""COMPUTED_VALUE"""),"")</f>
        <v/>
      </c>
      <c r="H34" s="121">
        <v>0.0</v>
      </c>
      <c r="I34" s="122" t="str">
        <f>IFERROR(__xludf.DUMMYFUNCTION("if(and(proficiencyBonus,indirect(regexextract(lower(concatenate(K34:N34)),""[a-z]{3}"")&amp;""Mod"")&lt;&gt;""-""),
    if(H34&lt;&gt;0,proficiencyBonus*if(H34=""e"",2,1),jackOfAllTrades)
    +indirect(regexextract(lower(concatenate(K34:N34)),""[a-z]{3}"")&amp;""Mod"")
    +"&amp;"$AR$58
    +sum(arrayformula(int(iferror(trim(left(regexextract(lower(filter({BA$32:BA$56;Additional!$BA$3:$BA$24},regexmatch(lower({BA$32:BA$56;Additional!$BA$3:$BA$24}),""[0-9]+ bonus to ""&amp;regexextract(lower(concatenate(K34:N34)),""[a-z]{3}"")&amp;""[a-z]+"&amp;"? .""&amp;lower(J34)))),""[0-9]+ bonus to ""&amp;regexextract(lower(concatenate(K34:N34)),""[a-z]{3}"")&amp;""[a-z]+? .""&amp;lower(J34)),2)),0)))),""-"")"),"-")</f>
        <v>-</v>
      </c>
      <c r="J34" s="123" t="s">
        <v>63</v>
      </c>
      <c r="K34" s="134"/>
      <c r="L34" s="135"/>
      <c r="M34" s="113" t="s">
        <v>64</v>
      </c>
      <c r="N34" s="113"/>
      <c r="P34" s="114"/>
      <c r="R34" s="151"/>
      <c r="S34" s="152"/>
      <c r="T34" s="152"/>
      <c r="U34" s="152"/>
      <c r="V34" s="152"/>
      <c r="W34" s="152"/>
      <c r="X34" s="153" t="str">
        <f t="shared" si="1"/>
        <v/>
      </c>
      <c r="Y34" s="154" t="str">
        <f>IFERROR(__xludf.DUMMYFUNCTION("if(and(proficiencyBonus,$AQ34&lt;&gt;"""",$BC34&lt;&gt;""-""),
        if(or(
              isnumber(find(""unarmed"",lower($AT34))),
              isnumber(find(""natural"",lower($AT34))),
              isnumber(find(""spell"",lower($AT34))),
              and(isnum"&amp;"ber(find(""improvised"",lower($AQ34))),isnumber(find(""brawler"",feats))),
              isnumber(find(lower($AT34),lower(weaponProficiencies))),
              not(isna(filter(arrayformula(trim(split(lower(weaponProficiencies),"",""))),isnumber(find(array"&amp;"formula(trim(split(lower(weaponProficiencies),"",""))),lower($AQ34))))))
           ),
           proficiencyBonus,
           0
        )
        +if(lower($AU34)=""ranged"",archery+closeQuarters,0)
        +if(isnumber(find(""spell"",lower($AT34))),v2.1"&amp;"!$AR$91,0)
        +$BC34,
        ""-""
    )"),"-")</f>
        <v>-</v>
      </c>
      <c r="Z34" s="152"/>
      <c r="AA34" s="152"/>
      <c r="AB34" s="153" t="str">
        <f t="shared" si="2"/>
        <v/>
      </c>
      <c r="AC34" s="155" t="str">
        <f>IFERROR(__xludf.DUMMYFUNCTION("substitute(if(and($AQ34&lt;&gt;"""",proficiencyBonus&lt;&gt;""""),
 $AR34&amp;if(and(""melee""=lower($AU34),lower($AT34)&lt;&gt;""unarmed"",isnumber(find(""two-handed"",lower($R34&amp;$BA34)))),greatWeaponFighting,"""")
&amp;if($AR34&lt;&gt;0,""+""
&amp;if($BB34&lt;&gt;""〇"",$BC34,if($AW34&lt;&gt;""-"",$AW"&amp;"34,0))
+int(iferror(regexextract(regexextract(Additional!$AR$79,""proficiency with[a-z ]+""&amp;lower(array_constrain(filter('Attack Info'!$B$7:$B180,'Attack Info'!$B$7:$B180&lt;&gt;"""",isnumber(find(lower('Attack Info'!$B$7:$B180),lower($AQ34)))),1,1))&amp;""[a-z, ]+"&amp;"\+[0-9]+ bonus to damage[a-z ]+with such weapons""),""[0-9]+?""),0))
+int(iferror(regexextract(regexextract(Additional!$AR$79,""\+[0-9] bonus to damage[a-z ]+""&amp;lower(array_constrain(filter('Attack Info'!$B$7:$B180,'Attack Info'!$B$7:$B180&lt;&gt;"""",isnumber("&amp;"find(lower('Attack Info'!$B$7:$B180),lower($AQ34)))),1,1))),""[0-9]+?""),0))
+if(and(isnumber(find(""melee"",lower($AU34))),iserror(find(""unarmed"",lower($AT34))),iserror(find(""natural"",lower($AT34))),iserror(find(""two-handed"",lower($R34&amp;$BA34)))),du"&amp;"eling,0)
+if(isnumber(find(""thrown"",lower($BA34))),thrown,0)
&amp;""[""&amp;$AS34&amp;""]"","""")
&amp;if(and(PaladinLevel&gt;=11,isnumber(find(""melee"",lower($AU34))),isnumber(find(lower($AT34),""simplemartial""))),""+1d8[radiant]"","""")
&amp;if($AX34&lt;&gt;""-"",""+""&amp;$AX34&amp;"""&amp;"[""&amp;$AY34&amp;""]"","""")
&amp;if(and(isnumber(find(""pact"",lower($AQ34))),isnumber(find(""lifedrinker"",lower(invocations)))),""+""&amp;chaMod&amp;""[necrotic]"","""")
&amp;""|***""&amp;textjoin("" "",True,if(and($AT34&lt;&gt;""-"",$AT34&lt;&gt;""Spell""),$AT34,""""),if($AU34&lt;&gt;""-"",$AU34"&amp;",""""),if($AT34=""Spell"",$AT34,if(and($AT34&lt;&gt;""Unarmed"",$AT34&lt;&gt;""Natural""),""Weapon"","""")))&amp;"" Attack.***""
&amp;if($BA34&lt;&gt;""-"",""
""&amp;$BA34,"""")
&amp;if(and(isnumber(find(""melee"",lower($AU34))),iserror(find(""unarmed"",lower($AT34))),iserror(find(""natur"&amp;"al"",lower($AT34))),iserror(find(""two-handed"",lower($R34&amp;$AV34)))),""
""&amp;duelingText,"""")
&amp;if(and(or(lower($AT34)=""unarmed"",lower($AT34)=""natural""),unarmedFighting),""
""&amp;unarmedText,"""")
&amp;if(and(""melee""=lower($AU34),lower($AT34)&lt;&gt;""unarmed"",is"&amp;"number(find(""two-handed"",lower($R34&amp;$BA34)))),""
""&amp;gwfText,"""")
&amp;if(and(isnumber(find(""offhand"",lower($R34))),twoWeaponFighting),""
""&amp;twfText,"""")
&amp;if(and(lower($AU34)=""ranged"",lower($AT34)&lt;&gt;""spell""),if(archeryText&lt;&gt;"""",""
""&amp;archeryText,"""""&amp;")&amp;if(closeQuartersText&lt;&gt;"""",""
""&amp;closeQuartersText,""""),"""")
&amp;if(isnumber(find(""thrown"",lower($BA34))),""
""&amp;thrownText,""""),""                 -""),""+0"","""")"),"                 -")</f>
        <v>                 -</v>
      </c>
      <c r="AD34" s="156"/>
      <c r="AE34" s="156"/>
      <c r="AF34" s="156"/>
      <c r="AG34" s="156"/>
      <c r="AH34" s="156"/>
      <c r="AI34" s="156"/>
      <c r="AJ34" s="156"/>
      <c r="AK34" s="156"/>
      <c r="AL34" s="156"/>
      <c r="AM34" s="156"/>
      <c r="AN34" s="156"/>
      <c r="AP34" s="12"/>
      <c r="AQ34" s="3" t="str">
        <f>IFERROR(__xludf.DUMMYFUNCTION("iferror(array_constrain(split(textjoin(""~"",True,filter('Attack Info'!$B$7:$AN180,'Attack Info'!$B$7:$B180&lt;&gt;"""",lower('Attack Info'!$B$7:$B180)=lower(R34))),""~""),1,12),"""")"),"")</f>
        <v/>
      </c>
      <c r="AR34" s="3"/>
      <c r="AS34" s="3"/>
      <c r="AT34" s="3"/>
      <c r="AU34" s="157"/>
      <c r="AV34" s="3"/>
      <c r="AW34" s="3"/>
      <c r="AX34" s="3"/>
      <c r="AY34" s="3"/>
      <c r="AZ34" s="3"/>
      <c r="BA34" s="3"/>
      <c r="BB34" s="3"/>
      <c r="BC34" s="159" t="str">
        <f t="array" ref="BC34">if(and(strMod&lt;&gt;"-",dexMod&lt;&gt;"-"),if($AQ34&lt;&gt;"",if($AW34&lt;&gt;"-",$AW34,0)
+if(isnumber(find(lower($AZ34),"strdexconintwischa")),if(indirect(lower($AZ34)&amp;"Mod")&lt;&gt;"-",indirect(lower($AZ34)&amp;"Mod"),0),
if(or(isnumber(find("finesse",lower($BA34))),and($AV34&lt;&gt;"〇",MonkLevel&lt;&gt;"",MonkLevel&gt;0)),max(strMod,dexMod),if(lower($AU34)="ranged",dexMod,strMod))),""),"-")</f>
        <v>-</v>
      </c>
    </row>
    <row r="35" ht="15.75" customHeight="1">
      <c r="A35" s="106"/>
      <c r="B35" s="61"/>
      <c r="C35" s="79" t="str">
        <f>IFERROR(__xludf.DUMMYFUNCTION("if(C36,min(30,max(
iferror(int(trim(right(regexextract(Additional!$AR$79,lower(C32)&amp;""[a-z]+? score is [0-9]+""),2))),0),
iferror(int(trim(right(regexextract(Additional!$AR$79,lower(C32)&amp;""[a-z]+? score changes to [0-9]+""),2))),0),
min(iferror(int(trim(r"&amp;"ight(regexextract(Additional!$AR$79,lower(C32)&amp;""[a-z]+? [a-z ]+maximum of [0-9]+?""),2))),20),
C36+
iferror(if(find(regexextract($AR$5,lower(C32)&amp;"" \+[0-9]""),$AR$5)&lt;iferror(find(""choose"",lower($AR$5)),len($AR$5)),int(right(regexextract($AR$5,lower(C3"&amp;"2)&amp;"" \+[0-9]""),1)),0),0)-
iferror(if(find(regexextract($AR$5,lower(C32)&amp;"" \-[0-9]""),$AR$5)&lt;iferror(find(""choose"",lower($AR$5)),len($AR$5)),int(right(regexextract($AR$5,lower(C32)&amp;"" \-[0-9]""),1)),0),0)
+D36))
+sum(arrayformula(int(iferror(trim(righ"&amp;"t(regexextract(lower(filter({BA$32:BA$56;Additional!$BA$3:$BA$24},regexmatch(lower({BA$32:BA$56;Additional!$BA$3:$BA$24}),lower(C32)&amp;""[a-z]+? score increases by [0-9]+""))),lower(C32)&amp;""[a-z]+? score increases by [0-9]+""),2)),0))))),""-"")"),"-")</f>
        <v>-</v>
      </c>
      <c r="D35" s="80"/>
      <c r="E35" s="63"/>
      <c r="F35" s="107" t="str">
        <f>IFERROR(__xludf.DUMMYFUNCTION("""COMPUTED_VALUE"""),"")</f>
        <v/>
      </c>
      <c r="H35" s="121">
        <v>0.0</v>
      </c>
      <c r="I35" s="122" t="str">
        <f>IFERROR(__xludf.DUMMYFUNCTION("if(and(proficiencyBonus,indirect(regexextract(lower(concatenate(K35:N35)),""[a-z]{3}"")&amp;""Mod"")&lt;&gt;""-""),
    if(H35&lt;&gt;0,proficiencyBonus*if(H35=""e"",2,1),jackOfAllTrades)
    +indirect(regexextract(lower(concatenate(K35:N35)),""[a-z]{3}"")&amp;""Mod"")
    +"&amp;"$AR$58
    +sum(arrayformula(int(iferror(trim(left(regexextract(lower(filter({BA$32:BA$56;Additional!$BA$3:$BA$24},regexmatch(lower({BA$32:BA$56;Additional!$BA$3:$BA$24}),""[0-9]+ bonus to ""&amp;regexextract(lower(concatenate(K35:N35)),""[a-z]{3}"")&amp;""[a-z]+"&amp;"? .""&amp;lower(J35)))),""[0-9]+ bonus to ""&amp;regexextract(lower(concatenate(K35:N35)),""[a-z]{3}"")&amp;""[a-z]+? .""&amp;lower(J35)),2)),0)))),""-"")"),"-")</f>
        <v>-</v>
      </c>
      <c r="J35" s="123" t="s">
        <v>65</v>
      </c>
      <c r="K35" s="134"/>
      <c r="L35" s="113" t="s">
        <v>66</v>
      </c>
      <c r="M35" s="113"/>
      <c r="N35" s="113"/>
      <c r="P35" s="114"/>
      <c r="R35" s="151"/>
      <c r="S35" s="152"/>
      <c r="T35" s="152"/>
      <c r="U35" s="152"/>
      <c r="V35" s="152"/>
      <c r="W35" s="152"/>
      <c r="X35" s="153" t="str">
        <f t="shared" si="1"/>
        <v/>
      </c>
      <c r="Y35" s="154" t="str">
        <f>IFERROR(__xludf.DUMMYFUNCTION("if(and(proficiencyBonus,$AQ35&lt;&gt;"""",$BC35&lt;&gt;""-""),
        if(or(
              isnumber(find(""unarmed"",lower($AT35))),
              isnumber(find(""natural"",lower($AT35))),
              isnumber(find(""spell"",lower($AT35))),
              and(isnum"&amp;"ber(find(""improvised"",lower($AQ35))),isnumber(find(""brawler"",feats))),
              isnumber(find(lower($AT35),lower(weaponProficiencies))),
              not(isna(filter(arrayformula(trim(split(lower(weaponProficiencies),"",""))),isnumber(find(array"&amp;"formula(trim(split(lower(weaponProficiencies),"",""))),lower($AQ35))))))
           ),
           proficiencyBonus,
           0
        )
        +if(lower($AU35)=""ranged"",archery+closeQuarters,0)
        +if(isnumber(find(""spell"",lower($AT35))),v2.1"&amp;"!$AR$91,0)
        +$BC35,
        ""-""
    )"),"-")</f>
        <v>-</v>
      </c>
      <c r="Z35" s="152"/>
      <c r="AA35" s="152"/>
      <c r="AB35" s="153" t="str">
        <f t="shared" si="2"/>
        <v/>
      </c>
      <c r="AC35" s="155" t="str">
        <f>IFERROR(__xludf.DUMMYFUNCTION("substitute(if(and($AQ35&lt;&gt;"""",proficiencyBonus&lt;&gt;""""),
 $AR35&amp;if(and(""melee""=lower($AU35),lower($AT35)&lt;&gt;""unarmed"",isnumber(find(""two-handed"",lower($R35&amp;$BA35)))),greatWeaponFighting,"""")
&amp;if($AR35&lt;&gt;0,""+""
&amp;if($BB35&lt;&gt;""〇"",$BC35,if($AW35&lt;&gt;""-"",$AW"&amp;"35,0))
+int(iferror(regexextract(regexextract(Additional!$AR$79,""proficiency with[a-z ]+""&amp;lower(array_constrain(filter('Attack Info'!$B$7:$B180,'Attack Info'!$B$7:$B180&lt;&gt;"""",isnumber(find(lower('Attack Info'!$B$7:$B180),lower($AQ35)))),1,1))&amp;""[a-z, ]+"&amp;"\+[0-9]+ bonus to damage[a-z ]+with such weapons""),""[0-9]+?""),0))
+int(iferror(regexextract(regexextract(Additional!$AR$79,""\+[0-9] bonus to damage[a-z ]+""&amp;lower(array_constrain(filter('Attack Info'!$B$7:$B180,'Attack Info'!$B$7:$B180&lt;&gt;"""",isnumber("&amp;"find(lower('Attack Info'!$B$7:$B180),lower($AQ35)))),1,1))),""[0-9]+?""),0))
+if(and(isnumber(find(""melee"",lower($AU35))),iserror(find(""unarmed"",lower($AT35))),iserror(find(""natural"",lower($AT35))),iserror(find(""two-handed"",lower($R35&amp;$BA35)))),du"&amp;"eling,0)
+if(isnumber(find(""thrown"",lower($BA35))),thrown,0)
&amp;""[""&amp;$AS35&amp;""]"","""")
&amp;if(and(PaladinLevel&gt;=11,isnumber(find(""melee"",lower($AU35))),isnumber(find(lower($AT35),""simplemartial""))),""+1d8[radiant]"","""")
&amp;if($AX35&lt;&gt;""-"",""+""&amp;$AX35&amp;"""&amp;"[""&amp;$AY35&amp;""]"","""")
&amp;if(and(isnumber(find(""pact"",lower($AQ35))),isnumber(find(""lifedrinker"",lower(invocations)))),""+""&amp;chaMod&amp;""[necrotic]"","""")
&amp;""|***""&amp;textjoin("" "",True,if(and($AT35&lt;&gt;""-"",$AT35&lt;&gt;""Spell""),$AT35,""""),if($AU35&lt;&gt;""-"",$AU35"&amp;",""""),if($AT35=""Spell"",$AT35,if(and($AT35&lt;&gt;""Unarmed"",$AT35&lt;&gt;""Natural""),""Weapon"","""")))&amp;"" Attack.***""
&amp;if($BA35&lt;&gt;""-"",""
""&amp;$BA35,"""")
&amp;if(and(isnumber(find(""melee"",lower($AU35))),iserror(find(""unarmed"",lower($AT35))),iserror(find(""natur"&amp;"al"",lower($AT35))),iserror(find(""two-handed"",lower($R35&amp;$AV35)))),""
""&amp;duelingText,"""")
&amp;if(and(or(lower($AT35)=""unarmed"",lower($AT35)=""natural""),unarmedFighting),""
""&amp;unarmedText,"""")
&amp;if(and(""melee""=lower($AU35),lower($AT35)&lt;&gt;""unarmed"",is"&amp;"number(find(""two-handed"",lower($R35&amp;$BA35)))),""
""&amp;gwfText,"""")
&amp;if(and(isnumber(find(""offhand"",lower($R35))),twoWeaponFighting),""
""&amp;twfText,"""")
&amp;if(and(lower($AU35)=""ranged"",lower($AT35)&lt;&gt;""spell""),if(archeryText&lt;&gt;"""",""
""&amp;archeryText,"""""&amp;")&amp;if(closeQuartersText&lt;&gt;"""",""
""&amp;closeQuartersText,""""),"""")
&amp;if(isnumber(find(""thrown"",lower($BA35))),""
""&amp;thrownText,""""),""                 -""),""+0"","""")"),"                 -")</f>
        <v>                 -</v>
      </c>
      <c r="AD35" s="156"/>
      <c r="AE35" s="156"/>
      <c r="AF35" s="156"/>
      <c r="AG35" s="156"/>
      <c r="AH35" s="156"/>
      <c r="AI35" s="156"/>
      <c r="AJ35" s="156"/>
      <c r="AK35" s="156"/>
      <c r="AL35" s="156"/>
      <c r="AM35" s="156"/>
      <c r="AN35" s="156"/>
      <c r="AP35" s="12"/>
      <c r="AQ35" s="3" t="str">
        <f>IFERROR(__xludf.DUMMYFUNCTION("iferror(array_constrain(split(textjoin(""~"",True,filter('Attack Info'!$B$7:$AN180,'Attack Info'!$B$7:$B180&lt;&gt;"""",lower('Attack Info'!$B$7:$B180)=lower(R35))),""~""),1,12),"""")"),"")</f>
        <v/>
      </c>
      <c r="AR35" s="3"/>
      <c r="AS35" s="3"/>
      <c r="AT35" s="3"/>
      <c r="AU35" s="157"/>
      <c r="AV35" s="3"/>
      <c r="AW35" s="3"/>
      <c r="AX35" s="3"/>
      <c r="AY35" s="3"/>
      <c r="AZ35" s="3"/>
      <c r="BA35" s="3"/>
      <c r="BB35" s="3"/>
      <c r="BC35" s="159" t="str">
        <f t="array" ref="BC35">if(and(strMod&lt;&gt;"-",dexMod&lt;&gt;"-"),if($AQ35&lt;&gt;"",if($AW35&lt;&gt;"-",$AW35,0)
+if(isnumber(find(lower($AZ35),"strdexconintwischa")),if(indirect(lower($AZ35)&amp;"Mod")&lt;&gt;"-",indirect(lower($AZ35)&amp;"Mod"),0),
if(or(isnumber(find("finesse",lower($BA35))),and($AV35&lt;&gt;"〇",MonkLevel&lt;&gt;"",MonkLevel&gt;0)),max(strMod,dexMod),if(lower($AU35)="ranged",dexMod,strMod))),""),"-")</f>
        <v>-</v>
      </c>
    </row>
    <row r="36" ht="15.75" customHeight="1">
      <c r="A36" s="160"/>
      <c r="B36" s="61"/>
      <c r="C36" s="85">
        <v>0.0</v>
      </c>
      <c r="D36" s="86"/>
      <c r="E36" s="63"/>
      <c r="F36" s="107" t="str">
        <f>IFERROR(__xludf.DUMMYFUNCTION("""COMPUTED_VALUE"""),"")</f>
        <v/>
      </c>
      <c r="H36" s="121">
        <v>0.0</v>
      </c>
      <c r="I36" s="122" t="str">
        <f>IFERROR(__xludf.DUMMYFUNCTION("if(and(proficiencyBonus,indirect(regexextract(lower(concatenate(K36:N36)),""[a-z]{3}"")&amp;""Mod"")&lt;&gt;""-""),
    if(H36&lt;&gt;0,proficiencyBonus*if(H36=""e"",2,1),jackOfAllTrades)
    +indirect(regexextract(lower(concatenate(K36:N36)),""[a-z]{3}"")&amp;""Mod"")
    +"&amp;"$AR$58
    +sum(arrayformula(int(iferror(trim(left(regexextract(lower(filter({BA$32:BA$56;Additional!$BA$3:$BA$24},regexmatch(lower({BA$32:BA$56;Additional!$BA$3:$BA$24}),""[0-9]+ bonus to ""&amp;regexextract(lower(concatenate(K36:N36)),""[a-z]{3}"")&amp;""[a-z]+"&amp;"? .""&amp;lower(J36)))),""[0-9]+ bonus to ""&amp;regexextract(lower(concatenate(K36:N36)),""[a-z]{3}"")&amp;""[a-z]+? .""&amp;lower(J36)),2)),0)))),""-"")"),"-")</f>
        <v>-</v>
      </c>
      <c r="J36" s="123" t="s">
        <v>67</v>
      </c>
      <c r="K36" s="161"/>
      <c r="L36" s="161"/>
      <c r="M36" s="113" t="s">
        <v>39</v>
      </c>
      <c r="N36" s="113"/>
      <c r="P36" s="114"/>
      <c r="R36" s="151"/>
      <c r="S36" s="152"/>
      <c r="T36" s="152"/>
      <c r="U36" s="152"/>
      <c r="V36" s="152"/>
      <c r="W36" s="152"/>
      <c r="X36" s="153" t="str">
        <f t="shared" si="1"/>
        <v/>
      </c>
      <c r="Y36" s="154" t="str">
        <f>IFERROR(__xludf.DUMMYFUNCTION("if(and(proficiencyBonus,$AQ36&lt;&gt;"""",$BC36&lt;&gt;""-""),
        if(or(
              isnumber(find(""unarmed"",lower($AT36))),
              isnumber(find(""natural"",lower($AT36))),
              isnumber(find(""spell"",lower($AT36))),
              and(isnum"&amp;"ber(find(""improvised"",lower($AQ36))),isnumber(find(""brawler"",feats))),
              isnumber(find(lower($AT36),lower(weaponProficiencies))),
              not(isna(filter(arrayformula(trim(split(lower(weaponProficiencies),"",""))),isnumber(find(array"&amp;"formula(trim(split(lower(weaponProficiencies),"",""))),lower($AQ36))))))
           ),
           proficiencyBonus,
           0
        )
        +if(lower($AU36)=""ranged"",archery+closeQuarters,0)
        +if(isnumber(find(""spell"",lower($AT36))),v2.1"&amp;"!$AR$91,0)
        +$BC36,
        ""-""
    )"),"-")</f>
        <v>-</v>
      </c>
      <c r="Z36" s="152"/>
      <c r="AA36" s="152"/>
      <c r="AB36" s="162" t="str">
        <f t="shared" si="2"/>
        <v/>
      </c>
      <c r="AC36" s="155" t="str">
        <f>IFERROR(__xludf.DUMMYFUNCTION("substitute(if(and($AQ36&lt;&gt;"""",proficiencyBonus&lt;&gt;""""),
 $AR36&amp;if(and(""melee""=lower($AU36),lower($AT36)&lt;&gt;""unarmed"",isnumber(find(""two-handed"",lower($R36&amp;$BA36)))),greatWeaponFighting,"""")
&amp;if($AR36&lt;&gt;0,""+""
&amp;if($BB36&lt;&gt;""〇"",$BC36,if($AW36&lt;&gt;""-"",$AW"&amp;"36,0))
+int(iferror(regexextract(regexextract(Additional!$AR$79,""proficiency with[a-z ]+""&amp;lower(array_constrain(filter('Attack Info'!$B$7:$B180,'Attack Info'!$B$7:$B180&lt;&gt;"""",isnumber(find(lower('Attack Info'!$B$7:$B180),lower($AQ36)))),1,1))&amp;""[a-z, ]+"&amp;"\+[0-9]+ bonus to damage[a-z ]+with such weapons""),""[0-9]+?""),0))
+int(iferror(regexextract(regexextract(Additional!$AR$79,""\+[0-9] bonus to damage[a-z ]+""&amp;lower(array_constrain(filter('Attack Info'!$B$7:$B180,'Attack Info'!$B$7:$B180&lt;&gt;"""",isnumber("&amp;"find(lower('Attack Info'!$B$7:$B180),lower($AQ36)))),1,1))),""[0-9]+?""),0))
+if(and(isnumber(find(""melee"",lower($AU36))),iserror(find(""unarmed"",lower($AT36))),iserror(find(""natural"",lower($AT36))),iserror(find(""two-handed"",lower($R36&amp;$BA36)))),du"&amp;"eling,0)
+if(isnumber(find(""thrown"",lower($BA36))),thrown,0)
&amp;""[""&amp;$AS36&amp;""]"","""")
&amp;if(and(PaladinLevel&gt;=11,isnumber(find(""melee"",lower($AU36))),isnumber(find(lower($AT36),""simplemartial""))),""+1d8[radiant]"","""")
&amp;if($AX36&lt;&gt;""-"",""+""&amp;$AX36&amp;"""&amp;"[""&amp;$AY36&amp;""]"","""")
&amp;if(and(isnumber(find(""pact"",lower($AQ36))),isnumber(find(""lifedrinker"",lower(invocations)))),""+""&amp;chaMod&amp;""[necrotic]"","""")
&amp;""|***""&amp;textjoin("" "",True,if(and($AT36&lt;&gt;""-"",$AT36&lt;&gt;""Spell""),$AT36,""""),if($AU36&lt;&gt;""-"",$AU36"&amp;",""""),if($AT36=""Spell"",$AT36,if(and($AT36&lt;&gt;""Unarmed"",$AT36&lt;&gt;""Natural""),""Weapon"","""")))&amp;"" Attack.***""
&amp;if($BA36&lt;&gt;""-"",""
""&amp;$BA36,"""")
&amp;if(and(isnumber(find(""melee"",lower($AU36))),iserror(find(""unarmed"",lower($AT36))),iserror(find(""natur"&amp;"al"",lower($AT36))),iserror(find(""two-handed"",lower($R36&amp;$AV36)))),""
""&amp;duelingText,"""")
&amp;if(and(or(lower($AT36)=""unarmed"",lower($AT36)=""natural""),unarmedFighting),""
""&amp;unarmedText,"""")
&amp;if(and(""melee""=lower($AU36),lower($AT36)&lt;&gt;""unarmed"",is"&amp;"number(find(""two-handed"",lower($R36&amp;$BA36)))),""
""&amp;gwfText,"""")
&amp;if(and(isnumber(find(""offhand"",lower($R36))),twoWeaponFighting),""
""&amp;twfText,"""")
&amp;if(and(lower($AU36)=""ranged"",lower($AT36)&lt;&gt;""spell""),if(archeryText&lt;&gt;"""",""
""&amp;archeryText,"""""&amp;")&amp;if(closeQuartersText&lt;&gt;"""",""
""&amp;closeQuartersText,""""),"""")
&amp;if(isnumber(find(""thrown"",lower($BA36))),""
""&amp;thrownText,""""),""                 -""),""+0"","""")"),"                 -")</f>
        <v>                 -</v>
      </c>
      <c r="AD36" s="156"/>
      <c r="AE36" s="156"/>
      <c r="AF36" s="156"/>
      <c r="AG36" s="156"/>
      <c r="AH36" s="156"/>
      <c r="AI36" s="156"/>
      <c r="AJ36" s="156"/>
      <c r="AK36" s="156"/>
      <c r="AL36" s="156"/>
      <c r="AM36" s="156"/>
      <c r="AN36" s="156"/>
      <c r="AP36" s="12"/>
      <c r="AQ36" s="3" t="str">
        <f>IFERROR(__xludf.DUMMYFUNCTION("iferror(array_constrain(split(textjoin(""~"",True,filter('Attack Info'!$B$7:$AN180,'Attack Info'!$B$7:$B180&lt;&gt;"""",lower('Attack Info'!$B$7:$B180)=lower(R36))),""~""),1,12),"""")"),"")</f>
        <v/>
      </c>
      <c r="AR36" s="3"/>
      <c r="AS36" s="3"/>
      <c r="AT36" s="3"/>
      <c r="AU36" s="157"/>
      <c r="AV36" s="3"/>
      <c r="AW36" s="3"/>
      <c r="AX36" s="3"/>
      <c r="AY36" s="3"/>
      <c r="AZ36" s="3"/>
      <c r="BA36" s="3"/>
      <c r="BB36" s="3"/>
      <c r="BC36" s="159" t="str">
        <f t="array" ref="BC36">if(and(strMod&lt;&gt;"-",dexMod&lt;&gt;"-"),if($AQ36&lt;&gt;"",if($AW36&lt;&gt;"-",$AW36,0)
+if(isnumber(find(lower($AZ36),"strdexconintwischa")),if(indirect(lower($AZ36)&amp;"Mod")&lt;&gt;"-",indirect(lower($AZ36)&amp;"Mod"),0),
if(or(isnumber(find("finesse",lower($BA36))),and($AV36&lt;&gt;"〇",MonkLevel&lt;&gt;"",MonkLevel&gt;0)),max(strMod,dexMod),if(lower($AU36)="ranged",dexMod,strMod))),""),"-")</f>
        <v>-</v>
      </c>
    </row>
    <row r="37" ht="15.75" customHeight="1">
      <c r="A37" s="163"/>
      <c r="B37" s="61"/>
      <c r="C37" s="62" t="s">
        <v>68</v>
      </c>
      <c r="E37" s="63"/>
      <c r="F37" s="107" t="str">
        <f>IFERROR(__xludf.DUMMYFUNCTION("""COMPUTED_VALUE"""),"")</f>
        <v/>
      </c>
      <c r="H37" s="121">
        <v>0.0</v>
      </c>
      <c r="I37" s="122" t="str">
        <f>IFERROR(__xludf.DUMMYFUNCTION("if(and(proficiencyBonus,indirect(regexextract(lower(concatenate(K37:N37)),""[a-z]{3}"")&amp;""Mod"")&lt;&gt;""-""),
    if(H37&lt;&gt;0,proficiencyBonus*if(H37=""e"",2,1),jackOfAllTrades)
    +indirect(regexextract(lower(concatenate(K37:N37)),""[a-z]{3}"")&amp;""Mod"")
    +"&amp;"$AR$58
    +sum(arrayformula(int(iferror(trim(left(regexextract(lower(filter({BA$32:BA$56;Additional!$BA$3:$BA$24},regexmatch(lower({BA$32:BA$56;Additional!$BA$3:$BA$24}),""[0-9]+ bonus to ""&amp;regexextract(lower(concatenate(K37:N37)),""[a-z]{3}"")&amp;""[a-z]+"&amp;"? .""&amp;lower(J37)))),""[0-9]+ bonus to ""&amp;regexextract(lower(concatenate(K37:N37)),""[a-z]{3}"")&amp;""[a-z]+? .""&amp;lower(J37)),2)),0)))),""-"")"),"-")</f>
        <v>-</v>
      </c>
      <c r="J37" s="123" t="s">
        <v>69</v>
      </c>
      <c r="K37" s="134"/>
      <c r="L37" s="134"/>
      <c r="M37" s="164" t="s">
        <v>70</v>
      </c>
      <c r="N37" s="113"/>
      <c r="P37" s="114"/>
      <c r="R37" s="165"/>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P37" s="12"/>
      <c r="AQ37" s="3"/>
      <c r="AR37" s="3"/>
      <c r="AS37" s="3"/>
      <c r="AT37" s="3"/>
      <c r="AU37" s="3"/>
      <c r="AV37" s="3"/>
      <c r="AW37" s="3"/>
      <c r="AX37" s="3"/>
      <c r="AY37" s="3"/>
      <c r="AZ37" s="3"/>
      <c r="BA37" s="3"/>
      <c r="BB37" s="3"/>
      <c r="BC37" s="3"/>
    </row>
    <row r="38" ht="15.75" customHeight="1">
      <c r="A38" s="106"/>
      <c r="B38" s="61"/>
      <c r="C38" s="71" t="str">
        <f>if(C40="-","-",INT((C40-10)/2))</f>
        <v>-</v>
      </c>
      <c r="E38" s="63"/>
      <c r="F38" s="107" t="str">
        <f>IFERROR(__xludf.DUMMYFUNCTION("""COMPUTED_VALUE"""),"")</f>
        <v/>
      </c>
      <c r="H38" s="121">
        <v>0.0</v>
      </c>
      <c r="I38" s="122" t="str">
        <f>IFERROR(__xludf.DUMMYFUNCTION("if(and(proficiencyBonus,indirect(regexextract(lower(concatenate(K38:N38)),""[a-z]{3}"")&amp;""Mod"")&lt;&gt;""-""),
    if(H38&lt;&gt;0,proficiencyBonus*if(H38=""e"",2,1),jackOfAllTrades)
    +indirect(regexextract(lower(concatenate(K38:N38)),""[a-z]{3}"")&amp;""Mod"")
    +"&amp;"$AR$58
    +sum(arrayformula(int(iferror(trim(left(regexextract(lower(filter({BA$32:BA$56;Additional!$BA$3:$BA$24},regexmatch(lower({BA$32:BA$56;Additional!$BA$3:$BA$24}),""[0-9]+ bonus to ""&amp;regexextract(lower(concatenate(K38:N38)),""[a-z]{3}"")&amp;""[a-z]+"&amp;"? .""&amp;lower(J38)))),""[0-9]+ bonus to ""&amp;regexextract(lower(concatenate(K38:N38)),""[a-z]{3}"")&amp;""[a-z]+? .""&amp;lower(J38)),2)),0)))),""-"")"),"-")</f>
        <v>-</v>
      </c>
      <c r="J38" s="123" t="s">
        <v>71</v>
      </c>
      <c r="K38" s="134"/>
      <c r="L38" s="134"/>
      <c r="M38" s="113" t="s">
        <v>72</v>
      </c>
      <c r="N38" s="113"/>
      <c r="P38" s="114"/>
      <c r="R38" s="167"/>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P38" s="12"/>
      <c r="AQ38" s="3"/>
      <c r="AR38" s="3"/>
      <c r="AS38" s="3"/>
      <c r="AT38" s="3"/>
      <c r="AU38" s="3"/>
      <c r="AV38" s="3"/>
      <c r="AW38" s="3"/>
      <c r="AX38" s="3"/>
      <c r="AY38" s="3"/>
      <c r="AZ38" s="3"/>
      <c r="BA38" s="3"/>
      <c r="BB38" s="3"/>
      <c r="BC38" s="3"/>
    </row>
    <row r="39" ht="15.75" customHeight="1">
      <c r="A39" s="106"/>
      <c r="B39" s="61"/>
      <c r="E39" s="63"/>
      <c r="F39" s="107" t="str">
        <f>IFERROR(__xludf.DUMMYFUNCTION("""COMPUTED_VALUE"""),"")</f>
        <v/>
      </c>
      <c r="H39" s="121">
        <v>0.0</v>
      </c>
      <c r="I39" s="122" t="str">
        <f>IFERROR(__xludf.DUMMYFUNCTION("if(and(proficiencyBonus,indirect(regexextract(lower(concatenate(K39:N39)),""[a-z]{3}"")&amp;""Mod"")&lt;&gt;""-""),
    if(H39&lt;&gt;0,proficiencyBonus*if(H39=""e"",2,1),jackOfAllTrades)
    +indirect(regexextract(lower(concatenate(K39:N39)),""[a-z]{3}"")&amp;""Mod"")
    +"&amp;"$AR$58
    +sum(arrayformula(int(iferror(trim(left(regexextract(lower(filter({BA$32:BA$56;Additional!$BA$3:$BA$24},regexmatch(lower({BA$32:BA$56;Additional!$BA$3:$BA$24}),""[0-9]+ bonus to ""&amp;regexextract(lower(concatenate(K39:N39)),""[a-z]{3}"")&amp;""[a-z]+"&amp;"? .""&amp;lower(J39)))),""[0-9]+ bonus to ""&amp;regexextract(lower(concatenate(K39:N39)),""[a-z]{3}"")&amp;""[a-z]+? .""&amp;lower(J39)),2)),0)))),""-"")"),"-")</f>
        <v>-</v>
      </c>
      <c r="J39" s="123" t="s">
        <v>73</v>
      </c>
      <c r="K39" s="134"/>
      <c r="L39" s="135" t="s">
        <v>66</v>
      </c>
      <c r="M39" s="113"/>
      <c r="N39" s="113"/>
      <c r="P39" s="114"/>
      <c r="R39" s="167"/>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P39" s="12"/>
      <c r="AQ39" s="3"/>
      <c r="AR39" s="3"/>
      <c r="AS39" s="3"/>
      <c r="AT39" s="3"/>
      <c r="AU39" s="3"/>
      <c r="AV39" s="3"/>
      <c r="AW39" s="3"/>
      <c r="AX39" s="3"/>
      <c r="AY39" s="3"/>
      <c r="AZ39" s="3"/>
      <c r="BA39" s="3"/>
      <c r="BB39" s="3"/>
      <c r="BC39" s="3"/>
    </row>
    <row r="40" ht="15.75" customHeight="1">
      <c r="A40" s="106"/>
      <c r="B40" s="61"/>
      <c r="C40" s="79" t="str">
        <f>IFERROR(__xludf.DUMMYFUNCTION("if(C41,min(30,max(
iferror(int(trim(right(regexextract(Additional!$AR$79,lower(C37)&amp;""[a-z]+? score is [0-9]+""),2))),0),
iferror(int(trim(right(regexextract(Additional!$AR$79,lower(C37)&amp;""[a-z]+? score changes to [0-9]+""),2))),0),
min(iferror(int(trim(r"&amp;"ight(regexextract(Additional!$AR$79,lower(C37)&amp;""[a-z]+? [a-z ]+maximum of [0-9]+?""),2))),20),
C41+
iferror(if(find(regexextract($AR$5,lower(C37)&amp;"" \+[0-9]""),$AR$5)&lt;iferror(find(""choose"",lower($AR$5)),len($AR$5)),int(right(regexextract($AR$5,lower(C3"&amp;"7)&amp;"" \+[0-9]""),1)),0),0)-
iferror(if(find(regexextract($AR$5,lower(C37)&amp;"" \-[0-9]""),$AR$5)&lt;iferror(find(""choose"",lower($AR$5)),len($AR$5)),int(right(regexextract($AR$5,lower(C37)&amp;"" \-[0-9]""),1)),0),0)
+D41))
+sum(arrayformula(int(iferror(trim(righ"&amp;"t(regexextract(lower(filter({BA$32:BA$56;Additional!$BA$3:$BA$24},regexmatch(lower({BA$32:BA$56;Additional!$BA$3:$BA$24}),lower(C37)&amp;""[a-z]+? score increases by [0-9]+""))),lower(C37)&amp;""[a-z]+? score increases by [0-9]+""),2)),0))))),""-"")"),"-")</f>
        <v>-</v>
      </c>
      <c r="D40" s="80"/>
      <c r="E40" s="63"/>
      <c r="F40" s="107" t="str">
        <f>IFERROR(__xludf.DUMMYFUNCTION("""COMPUTED_VALUE"""),"")</f>
        <v/>
      </c>
      <c r="H40" s="121">
        <v>0.0</v>
      </c>
      <c r="I40" s="122" t="str">
        <f>IFERROR(__xludf.DUMMYFUNCTION("if(and(proficiencyBonus,indirect(regexextract(lower(concatenate(K40:N40)),""[a-z]{3}"")&amp;""Mod"")&lt;&gt;""-""),
    if(H40&lt;&gt;0,proficiencyBonus*if(H40=""e"",2,1),max(jackOfAllTrades,iferror(if(and(vlookup(""Fighter"",$AR$6:$AS$15,2,false)=""Champion"",FighterLev"&amp;"el&gt;=7),ceiling(proficiencyBonus/2),0),0)))
    +indirect(regexextract(lower(concatenate(K40:N40)),""[a-z]{3}"")&amp;""Mod"")
    +$AR$58
    +sum(arrayformula(int(iferror(trim(left(regexextract(lower(filter({BA$32:BA$56;Additional!$BA$3:$BA$24},regexmatch(low"&amp;"er({BA$32:BA$56;Additional!$BA$3:$BA$24}),""[0-9]+ bonus to ""&amp;regexextract(lower(concatenate(K40:N40)),""[a-z]{3}"")&amp;""[a-z]+? .""&amp;lower(J40)))),""[0-9]+ bonus to ""&amp;regexextract(lower(concatenate(K40:N40)),""[a-z]{3}"")&amp;""[a-z]+? .""&amp;lower(J40)),2)),0))"&amp;")),""-"")"),"-")</f>
        <v>-</v>
      </c>
      <c r="J40" s="123" t="s">
        <v>74</v>
      </c>
      <c r="K40" s="134"/>
      <c r="L40" s="134"/>
      <c r="M40" s="113"/>
      <c r="N40" s="113" t="s">
        <v>75</v>
      </c>
      <c r="P40" s="114"/>
      <c r="R40" s="167"/>
      <c r="S40" s="166"/>
      <c r="T40" s="166"/>
      <c r="U40" s="166"/>
      <c r="V40" s="166"/>
      <c r="W40" s="166"/>
      <c r="X40" s="166"/>
      <c r="Y40" s="166"/>
      <c r="Z40" s="166"/>
      <c r="AA40" s="166"/>
      <c r="AB40" s="166"/>
      <c r="AC40" s="166"/>
      <c r="AD40" s="166"/>
      <c r="AE40" s="166"/>
      <c r="AF40" s="166"/>
      <c r="AG40" s="166"/>
      <c r="AH40" s="166"/>
      <c r="AI40" s="166"/>
      <c r="AJ40" s="166"/>
      <c r="AK40" s="166"/>
      <c r="AL40" s="166"/>
      <c r="AM40" s="166"/>
      <c r="AN40" s="166"/>
      <c r="AP40" s="12"/>
      <c r="AQ40" s="3"/>
      <c r="AR40" s="3"/>
      <c r="AS40" s="3"/>
      <c r="AT40" s="3"/>
      <c r="AU40" s="3"/>
      <c r="AV40" s="3"/>
      <c r="AW40" s="3"/>
      <c r="AX40" s="3"/>
      <c r="AY40" s="3"/>
      <c r="AZ40" s="3"/>
      <c r="BA40" s="3"/>
      <c r="BB40" s="3"/>
      <c r="BC40" s="3"/>
    </row>
    <row r="41" ht="15.75" customHeight="1">
      <c r="A41" s="106"/>
      <c r="B41" s="137"/>
      <c r="C41" s="168">
        <v>0.0</v>
      </c>
      <c r="D41" s="169"/>
      <c r="E41" s="43"/>
      <c r="F41" s="107" t="str">
        <f>IFERROR(__xludf.DUMMYFUNCTION("""COMPUTED_VALUE"""),"")</f>
        <v/>
      </c>
      <c r="H41" s="121">
        <v>0.0</v>
      </c>
      <c r="I41" s="122" t="str">
        <f>IFERROR(__xludf.DUMMYFUNCTION("if(and(proficiencyBonus,indirect(regexextract(lower(concatenate(K41:N41)),""[a-z]{3}"")&amp;""Mod"")&lt;&gt;""-""),
    if(H41&lt;&gt;0,proficiencyBonus*if(H41=""e"",2,1),max(jackOfAllTrades,iferror(if(and(vlookup(""Fighter"",$AR$6:$AS$15,2,false)=""Champion"",FighterLev"&amp;"el&gt;=7),CEILING(proficiencyBonus/2),0),0)))
    +indirect(regexextract(lower(concatenate(K41:N41)),""[a-z]{3}"")&amp;""Mod"")
    +$AR$58
    +sum(arrayformula(int(iferror(trim(left(regexextract(lower(filter({BA$32:BA$56;Additional!$BA$3:$BA$24},regexmatch(low"&amp;"er({BA$32:BA$56;Additional!$BA$3:$BA$24}),""[0-9]+ bonus to ""&amp;regexextract(lower(concatenate(K41:N41)),""[a-z]{3}"")&amp;""[a-z]+? .""&amp;lower(J41)))),""[0-9]+ bonus to ""&amp;regexextract(lower(concatenate(K41:N41)),""[a-z]{3}"")&amp;""[a-z]+? .""&amp;lower(J41)),2)),0))"&amp;")),""-"")"),"-")</f>
        <v>-</v>
      </c>
      <c r="J41" s="123" t="s">
        <v>76</v>
      </c>
      <c r="K41" s="170"/>
      <c r="L41" s="135" t="s">
        <v>77</v>
      </c>
      <c r="M41" s="113"/>
      <c r="N41" s="113"/>
      <c r="P41" s="143"/>
      <c r="R41" s="167"/>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P41" s="12"/>
      <c r="AQ41" s="3"/>
      <c r="AR41" s="3"/>
      <c r="AS41" s="3"/>
      <c r="AT41" s="3"/>
      <c r="AU41" s="3"/>
      <c r="AV41" s="3"/>
      <c r="AW41" s="3"/>
      <c r="AX41" s="3"/>
      <c r="AY41" s="3"/>
      <c r="AZ41" s="3"/>
      <c r="BA41" s="3"/>
      <c r="BB41" s="3"/>
      <c r="BC41" s="3"/>
    </row>
    <row r="42" ht="15.75" customHeight="1">
      <c r="A42" s="106"/>
      <c r="B42" s="171" t="str">
        <f>IMAGE("https://i.imgur.com/2e2hhyX.png",2)</f>
        <v/>
      </c>
      <c r="C42" s="156"/>
      <c r="D42" s="156"/>
      <c r="E42" s="172"/>
      <c r="F42" s="107" t="str">
        <f>IFERROR(__xludf.DUMMYFUNCTION("""COMPUTED_VALUE"""),"")</f>
        <v/>
      </c>
      <c r="H42" s="121">
        <v>0.0</v>
      </c>
      <c r="I42" s="122" t="str">
        <f>IFERROR(__xludf.DUMMYFUNCTION("if(and(proficiencyBonus,indirect(regexextract(lower(concatenate(K42:N42)),""[a-z]{3}"")&amp;""Mod"")&lt;&gt;""-""),
    if(H42&lt;&gt;0,proficiencyBonus*if(H42=""e"",2,1),jackOfAllTrades)
    +indirect(regexextract(lower(concatenate(K42:N42)),""[a-z]{3}"")&amp;""Mod"")
    +"&amp;"$AR$58
    +sum(arrayformula(int(iferror(trim(left(regexextract(lower(filter({BA$32:BA$56;Additional!$BA$3:$BA$24},regexmatch(lower({BA$32:BA$56;Additional!$BA$3:$BA$24}),""[0-9]+ bonus to ""&amp;regexextract(lower(concatenate(K42:N42)),""[a-z]{3}"")&amp;""[a-z]+"&amp;"? .""&amp;lower(J42)))),""[0-9]+ bonus to ""&amp;regexextract(lower(concatenate(K42:N42)),""[a-z]{3}"")&amp;""[a-z]+? .""&amp;lower(J42)),2)),0)))),""-"")"),"-")</f>
        <v>-</v>
      </c>
      <c r="J42" s="123" t="s">
        <v>78</v>
      </c>
      <c r="K42" s="173"/>
      <c r="L42" s="135" t="s">
        <v>79</v>
      </c>
      <c r="M42" s="113"/>
      <c r="N42" s="113"/>
      <c r="P42" s="114"/>
      <c r="R42" s="167"/>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P42" s="12"/>
      <c r="AQ42" s="3"/>
      <c r="AR42" s="3"/>
      <c r="AS42" s="3"/>
      <c r="AT42" s="3"/>
      <c r="AU42" s="3"/>
      <c r="AV42" s="3"/>
      <c r="AW42" s="3"/>
      <c r="AX42" s="3"/>
      <c r="AY42" s="3"/>
      <c r="AZ42" s="3"/>
      <c r="BA42" s="3"/>
      <c r="BB42" s="3"/>
      <c r="BC42" s="3"/>
    </row>
    <row r="43" ht="15.75" customHeight="1">
      <c r="A43" s="12"/>
      <c r="C43" s="12"/>
      <c r="D43" s="12"/>
      <c r="E43" s="12"/>
      <c r="F43" s="174"/>
      <c r="H43" s="175" t="str">
        <f>if(and($AW$16&lt;&gt;"",countif($H$25:$H$42,"&lt;&gt;0")&lt;if($AJ$11&lt;&gt;"",2,0)+$AS$16),
 if(countif($H$25:$H$42,"&lt;&gt;0")&lt;2,"READ THIS NOTE HERE!",$AQ$17&amp;" SKILL"&amp;if($AQ$17&gt;1,"S","")&amp;" LEFT TO SELECT"),
 "SKILLS")</f>
        <v>SKILLS</v>
      </c>
      <c r="I43" s="31"/>
      <c r="J43" s="31"/>
      <c r="K43" s="31"/>
      <c r="L43" s="31"/>
      <c r="M43" s="31"/>
      <c r="N43" s="31"/>
      <c r="P43" s="176"/>
      <c r="R43" s="177" t="str">
        <f>IFERROR(__xludf.DUMMYFUNCTION("if(counta(iferror(filter(R32:R36,AQ32:AQ36=""""))),""To add custom attacks, go to the 'Attack Info' tab and enter the details for it there."",""ATTACKS &amp; NOTES"")"),"ATTACKS &amp; NOTES")</f>
        <v>ATTACKS &amp; NOTES</v>
      </c>
      <c r="S43" s="31"/>
      <c r="T43" s="31"/>
      <c r="U43" s="31"/>
      <c r="V43" s="31"/>
      <c r="W43" s="31"/>
      <c r="X43" s="31"/>
      <c r="Y43" s="31"/>
      <c r="Z43" s="31"/>
      <c r="AA43" s="31"/>
      <c r="AB43" s="31"/>
      <c r="AC43" s="31"/>
      <c r="AD43" s="31"/>
      <c r="AE43" s="31"/>
      <c r="AF43" s="31"/>
      <c r="AG43" s="31"/>
      <c r="AH43" s="31"/>
      <c r="AI43" s="31"/>
      <c r="AJ43" s="31"/>
      <c r="AK43" s="31"/>
      <c r="AL43" s="31"/>
      <c r="AM43" s="31"/>
      <c r="AN43" s="31"/>
      <c r="AP43" s="12"/>
      <c r="AQ43" s="3" t="str">
        <f>if(AQ44,"**Fighting Style: Archery**
You gain a +2 bonus to attack rolls you make with ranged weapons.","")</f>
        <v/>
      </c>
      <c r="AR43" s="3"/>
      <c r="AS43" s="3" t="str">
        <f>if(AS44,"**Fighting Style: Dueling**
When you are wielding a melee weapon in one hand and no other weapons, you gain a +2 bonus to damage rolls with that weapon.","")</f>
        <v/>
      </c>
      <c r="AT43" s="3" t="str">
        <f>if(AT44&lt;&gt;"","**Fighting Style: Great Weapon Fighting**
When you roll a 1 or 2 on a damage die for an attack you make with a melee weapon that you are wielding with two hands, you can reroll the die and must use the new roll, even if the new roll is a 1 or a 2. The wea"&amp;"pon must have the two-handed or versatile property for you to gain this benefit.","")</f>
        <v/>
      </c>
      <c r="AU43" s="3" t="str">
        <f>if(AU44,"**Fighting Style: Two-Weapon Fighting**
When you engage in two-weapon fighting, you can add your ability modifier to the damage of the second attack.","")</f>
        <v/>
      </c>
      <c r="AV43" s="3"/>
      <c r="AW43" s="3" t="str">
        <f>if(AW44,"**Fighting Style: Close Quarters Shooter**
When making a ranged attack while you are within 5 feet of a hostile creature, you do not have disadvantage on the attack roll. Your ranged attacks ignore half cover and three-quarters cover against targets withi"&amp;"n 30 feet of you. You have a +1 bonus to attack rolls on ranged attacks.","")</f>
        <v/>
      </c>
      <c r="AX43" s="3" t="str">
        <f>if(AX44,"**Fighting Style: Thrown Weapon Fighting**
You can draw a weapon that has the thrown property as part of the attack you make with the weapon.
In addition, when you hit with a ranged attack using a thrown weapon, you gain a +1 bonus to the damage roll.","")</f>
        <v/>
      </c>
      <c r="AY43" s="3" t="str">
        <f>if(AY44,"**Fighting Style: Unarmed Fighting**
Your unarmed strikes can deal bludgeoning damage equal to 1d6 + your Strength modifier. If you strike with two free hands, the d6 becomes a d8.
When you successfully start a grapple, you can deal 1d4 bludgeoning damage"&amp;" to the grappled creature. Until the grapple ends, you can also deal this damage to the creature whenever you hit it with a melee attack.","")</f>
        <v/>
      </c>
      <c r="AZ43" s="3"/>
      <c r="BA43" s="3"/>
      <c r="BB43" s="3"/>
      <c r="BC43" s="3"/>
    </row>
    <row r="44" ht="15.75" customHeight="1">
      <c r="A44" s="12"/>
      <c r="B44" s="4" t="str">
        <f>IMAGE("https://i.imgur.com/wJZp2Dm.png",4, 83, 20)</f>
        <v/>
      </c>
      <c r="E44" s="4" t="str">
        <f>IMAGE("http://i.imgur.com/9FMGmuZ.png",4, 83, 20)</f>
        <v/>
      </c>
      <c r="H44" s="178"/>
      <c r="I44" s="178"/>
      <c r="J44" s="178"/>
      <c r="K44" s="5" t="str">
        <f>if(countif(H25:H42,"0")=18,"Clear bubbles with '0' (zero).","")</f>
        <v>Clear bubbles with '0' (zero).</v>
      </c>
      <c r="L44" s="5"/>
      <c r="M44" s="5"/>
      <c r="N44" s="5"/>
      <c r="R44" s="5"/>
      <c r="S44" s="5"/>
      <c r="T44" s="5"/>
      <c r="U44" s="5"/>
      <c r="V44" s="5"/>
      <c r="W44" s="5"/>
      <c r="X44" s="147"/>
      <c r="Y44" s="147"/>
      <c r="Z44" s="5"/>
      <c r="AA44" s="5" t="str">
        <f>image("https://i.imgur.com/B5rZApv.png",4, 314, 41)</f>
        <v/>
      </c>
      <c r="AC44" s="9"/>
      <c r="AP44" s="12"/>
      <c r="AQ44" s="3" t="str">
        <f>if(isnumber(find("archery",fightingStyles)),2,"")</f>
        <v/>
      </c>
      <c r="AR44" s="3" t="str">
        <f>if(and(isnumber(find("defense",fightingStyles)),AQ24&lt;&gt;"No Armor"),1,"")</f>
        <v/>
      </c>
      <c r="AS44" s="3" t="str">
        <f>if(and(isnumber(find("dueling",fightingStyles)),iserror(find("offhand",lower(textjoin("",True,$R$32:$R36,Additional!$B$3:$B$13,Additional!$W$3:$W$13))))),2,"")</f>
        <v/>
      </c>
      <c r="AT44" s="3" t="str">
        <f>if(isnumber(find("great weapon",fightingStyles)),"ro&lt;3","")</f>
        <v/>
      </c>
      <c r="AU44" s="3" t="str">
        <f>if(and(isnumber(find("offhand",lower(textjoin("",True,R32:W36,Additional!B3:G13,Additional!W3:AB13)))),isnumber(find("two-weapon",fightingStyles))),1,"")</f>
        <v/>
      </c>
      <c r="AV44" s="3" t="str">
        <f>if(and(isnumber(find("mariner",lower(fightingStyles))),AQ25="",not(isnumber(find("heavy",lower(AT24))))),1,"")</f>
        <v/>
      </c>
      <c r="AW44" s="3" t="str">
        <f>if(isnumber(find("close quarters",fightingStyles)),1,"")</f>
        <v/>
      </c>
      <c r="AX44" s="3" t="str">
        <f>if(isnumber(find("thrown weapon",fightingStyles)),1,"")</f>
        <v/>
      </c>
      <c r="AY44" s="3" t="str">
        <f>if(isnumber(find("unarmed fighting",fightingStyles)),1,"")</f>
        <v/>
      </c>
      <c r="AZ44" s="3" t="str">
        <f>if(and(isnumber(find("offhand",lower(textjoin("",True,R32:W36,Additional!B3:G13,Additional!W3:AB13)))),isnumber(find("dual wielder",feats))),1,"")</f>
        <v/>
      </c>
      <c r="BA44" s="3"/>
      <c r="BB44" s="3"/>
      <c r="BC44" s="3"/>
    </row>
    <row r="45" ht="15.75" customHeight="1">
      <c r="A45" s="12"/>
      <c r="C45" s="179" t="str">
        <f>if(C35="-","-",I36+10+if(isnumber(find("observant",feats)),5,0)+if(and(F36&lt;&gt;"",isnumber(find(lower(F36),"advantage"))),5,if(and(F36&lt;&gt;"",isnumber(find(lower(F36),"disadvantage"))),-5,0)))</f>
        <v>-</v>
      </c>
      <c r="D45" s="25"/>
      <c r="F45" s="180" t="s">
        <v>80</v>
      </c>
      <c r="G45" s="25"/>
      <c r="H45" s="25"/>
      <c r="I45" s="25"/>
      <c r="J45" s="25"/>
      <c r="K45" s="25"/>
      <c r="L45" s="25"/>
      <c r="M45" s="25"/>
      <c r="N45" s="25"/>
      <c r="R45" s="181" t="str">
        <f>IFERROR(__xludf.DUMMYFUNCTION("if(race="""",""-"",transpose(arrayformula(trim(split(proper(textjoin("", "",true,regexreplace(lower(AW5),"", [a-z0-9]+ extr[a-z ]+"",""""),arrayformula(iferror(regexextract(proper(AW16),AV69:AV180),"""")),arrayformula(iferror(regexextract(proper(AW16),AW6"&amp;"9:AW180),"""")))),"","")))))"),"Common")</f>
        <v>Common</v>
      </c>
      <c r="S45" s="70"/>
      <c r="T45" s="70"/>
      <c r="U45" s="70"/>
      <c r="V45" s="70"/>
      <c r="W45" s="70"/>
      <c r="X45" s="70"/>
      <c r="Y45" s="70"/>
      <c r="Z45" s="181"/>
      <c r="AC45" s="182"/>
      <c r="AD45" s="25"/>
      <c r="AE45" s="25"/>
      <c r="AF45" s="25"/>
      <c r="AG45" s="25"/>
      <c r="AH45" s="25"/>
      <c r="AI45" s="25"/>
      <c r="AJ45" s="25"/>
      <c r="AK45" s="25"/>
      <c r="AL45" s="25"/>
      <c r="AM45" s="25"/>
      <c r="AN45" s="25"/>
      <c r="AP45" s="12"/>
      <c r="AQ45" s="3" t="str">
        <f>IFERROR(__xludf.DUMMYFUNCTION("iferror(array_constrain(split(textjoin(""~"",True,filter('Gear Info'!$B$7:$AN180,'Gear Info'!$B$7:$B180&lt;&gt;"""",lower('Gear Info'!$B$7:$B180=lower(AC45)))),""~""),1,11),"""")"),"")</f>
        <v/>
      </c>
      <c r="AR45" s="3"/>
      <c r="AS45" s="3"/>
      <c r="AT45" s="3"/>
      <c r="AU45" s="3"/>
      <c r="AV45" s="3"/>
      <c r="AW45" s="3"/>
      <c r="AX45" s="3"/>
      <c r="AY45" s="3"/>
      <c r="AZ45" s="3"/>
      <c r="BA45" s="3"/>
      <c r="BB45" s="3"/>
      <c r="BC45" s="3"/>
    </row>
    <row r="46" ht="15.75" customHeight="1">
      <c r="A46" s="12"/>
      <c r="C46" s="31"/>
      <c r="D46" s="31"/>
      <c r="F46" s="31"/>
      <c r="G46" s="31"/>
      <c r="H46" s="31"/>
      <c r="I46" s="31"/>
      <c r="J46" s="31"/>
      <c r="K46" s="31"/>
      <c r="L46" s="31"/>
      <c r="M46" s="31"/>
      <c r="N46" s="31"/>
      <c r="R46" s="183"/>
      <c r="S46" s="74"/>
      <c r="T46" s="74"/>
      <c r="U46" s="74"/>
      <c r="V46" s="74"/>
      <c r="W46" s="74"/>
      <c r="X46" s="74"/>
      <c r="Y46" s="74"/>
      <c r="Z46" s="74"/>
      <c r="AC46" s="184"/>
      <c r="AD46" s="185"/>
      <c r="AE46" s="185"/>
      <c r="AF46" s="185"/>
      <c r="AG46" s="185"/>
      <c r="AH46" s="185"/>
      <c r="AI46" s="185"/>
      <c r="AJ46" s="185"/>
      <c r="AK46" s="185"/>
      <c r="AL46" s="185"/>
      <c r="AM46" s="185"/>
      <c r="AN46" s="185"/>
      <c r="AP46" s="12"/>
      <c r="AQ46" s="3" t="str">
        <f>IFERROR(__xludf.DUMMYFUNCTION("iferror(array_constrain(split(textjoin(""~"",True,filter('Gear Info'!$B$7:$AN180,'Gear Info'!$B$7:$B180&lt;&gt;"""",lower('Gear Info'!$B$7:$B180=lower(AC46)))),""~""),1,11),"""")"),"")</f>
        <v/>
      </c>
      <c r="AR46" s="3"/>
      <c r="AS46" s="3"/>
      <c r="AT46" s="3"/>
      <c r="AU46" s="3"/>
      <c r="AV46" s="3"/>
      <c r="AW46" s="3"/>
      <c r="AX46" s="3"/>
      <c r="AY46" s="3"/>
      <c r="AZ46" s="3"/>
      <c r="BA46" s="3"/>
      <c r="BB46" s="3"/>
      <c r="BC46" s="3"/>
    </row>
    <row r="47" ht="15.75" customHeight="1">
      <c r="A47" s="12"/>
      <c r="F47" s="5"/>
      <c r="G47" s="5"/>
      <c r="H47" s="5"/>
      <c r="I47" s="5"/>
      <c r="J47" s="5"/>
      <c r="K47" s="5"/>
      <c r="L47" s="5"/>
      <c r="M47" s="5"/>
      <c r="N47" s="5"/>
      <c r="R47" s="186"/>
      <c r="S47" s="74"/>
      <c r="T47" s="74"/>
      <c r="U47" s="74"/>
      <c r="V47" s="74"/>
      <c r="W47" s="74"/>
      <c r="X47" s="74"/>
      <c r="Y47" s="74"/>
      <c r="Z47" s="74"/>
      <c r="AC47" s="184"/>
      <c r="AD47" s="185"/>
      <c r="AE47" s="185"/>
      <c r="AF47" s="185"/>
      <c r="AG47" s="185"/>
      <c r="AH47" s="185"/>
      <c r="AI47" s="185"/>
      <c r="AJ47" s="185"/>
      <c r="AK47" s="185"/>
      <c r="AL47" s="185"/>
      <c r="AM47" s="185"/>
      <c r="AN47" s="185"/>
      <c r="AP47" s="12"/>
      <c r="AQ47" s="3" t="str">
        <f>IFERROR(__xludf.DUMMYFUNCTION("iferror(array_constrain(split(textjoin(""~"",True,filter('Gear Info'!$B$7:$AN180,'Gear Info'!$B$7:$B180&lt;&gt;"""",lower('Gear Info'!$B$7:$B180=lower(AC47)))),""~""),1,11),"""")"),"")</f>
        <v/>
      </c>
      <c r="AR47" s="3"/>
      <c r="AS47" s="3"/>
      <c r="AT47" s="3"/>
      <c r="AU47" s="3"/>
      <c r="AV47" s="3"/>
      <c r="AW47" s="3"/>
      <c r="AX47" s="3"/>
      <c r="AY47" s="3"/>
      <c r="AZ47" s="3"/>
      <c r="BA47" s="3"/>
      <c r="BB47" s="3"/>
      <c r="BC47" s="3"/>
    </row>
    <row r="48" ht="15.75" customHeight="1">
      <c r="A48" s="12"/>
      <c r="B48" s="147" t="str">
        <f>IMAGE("https://i.imgur.com/nf5Ui23.png",4, 818, 20)</f>
        <v/>
      </c>
      <c r="C48" s="187" t="str">
        <f>IMAGE("https://i.imgur.com/IxRRFOd.png",4, 20, 251)</f>
        <v/>
      </c>
      <c r="O48" s="147" t="str">
        <f>IMAGE("https://i.imgur.com/RzcHHl9.png",2)</f>
        <v/>
      </c>
      <c r="R48" s="186"/>
      <c r="S48" s="74"/>
      <c r="T48" s="74"/>
      <c r="U48" s="74"/>
      <c r="V48" s="74"/>
      <c r="W48" s="74"/>
      <c r="X48" s="74"/>
      <c r="Y48" s="74"/>
      <c r="Z48" s="74"/>
      <c r="AC48" s="184"/>
      <c r="AD48" s="185"/>
      <c r="AE48" s="185"/>
      <c r="AF48" s="185"/>
      <c r="AG48" s="185"/>
      <c r="AH48" s="185"/>
      <c r="AI48" s="185"/>
      <c r="AJ48" s="185"/>
      <c r="AK48" s="185"/>
      <c r="AL48" s="185"/>
      <c r="AM48" s="185"/>
      <c r="AN48" s="185"/>
      <c r="AP48" s="12"/>
      <c r="AQ48" s="3" t="str">
        <f>IFERROR(__xludf.DUMMYFUNCTION("iferror(array_constrain(split(textjoin(""~"",True,filter('Gear Info'!$B$7:$AN180,'Gear Info'!$B$7:$B180&lt;&gt;"""",lower('Gear Info'!$B$7:$B180=lower(AC48)))),""~""),1,11),"""")"),"")</f>
        <v/>
      </c>
      <c r="AR48" s="3"/>
      <c r="AS48" s="3"/>
      <c r="AT48" s="3"/>
      <c r="AU48" s="3"/>
      <c r="AV48" s="3"/>
      <c r="AW48" s="3"/>
      <c r="AX48" s="3"/>
      <c r="AY48" s="3"/>
      <c r="AZ48" s="3"/>
      <c r="BA48" s="3"/>
      <c r="BB48" s="3"/>
      <c r="BC48" s="3"/>
    </row>
    <row r="49" ht="15.75" customHeight="1">
      <c r="A49" s="12"/>
      <c r="C49" s="188" t="s">
        <v>81</v>
      </c>
      <c r="D49" s="70"/>
      <c r="E49" s="70"/>
      <c r="F49" s="70"/>
      <c r="G49" s="70"/>
      <c r="H49" s="70"/>
      <c r="I49" s="189" t="str">
        <f>if(armorProficiencies&lt;&gt;"",
 if(isnumber(find("Heavy",armorProficiencies)),"All Armor"&amp;if(isnumber(find("Shields",armorProficiencies)),", Shields",""),substitute(armorProficiencies," Armor","")),
 "Autofills based on Class &amp; Race")
&amp;if(isnumber(find("NoMetal",AW16))," (druids will not wear armor or use shields made of metal)","")</f>
        <v>Autofills based on Class &amp; Race</v>
      </c>
      <c r="J49" s="70"/>
      <c r="K49" s="70"/>
      <c r="L49" s="70"/>
      <c r="M49" s="70"/>
      <c r="N49" s="70"/>
      <c r="R49" s="183"/>
      <c r="S49" s="74"/>
      <c r="T49" s="74"/>
      <c r="U49" s="74"/>
      <c r="V49" s="74"/>
      <c r="W49" s="74"/>
      <c r="X49" s="74"/>
      <c r="Y49" s="74"/>
      <c r="Z49" s="74"/>
      <c r="AC49" s="184"/>
      <c r="AD49" s="185"/>
      <c r="AE49" s="185"/>
      <c r="AF49" s="185"/>
      <c r="AG49" s="185"/>
      <c r="AH49" s="185"/>
      <c r="AI49" s="185"/>
      <c r="AJ49" s="185"/>
      <c r="AK49" s="185"/>
      <c r="AL49" s="185"/>
      <c r="AM49" s="185"/>
      <c r="AN49" s="185"/>
      <c r="AP49" s="12"/>
      <c r="AQ49" s="3" t="str">
        <f>IFERROR(__xludf.DUMMYFUNCTION("iferror(array_constrain(split(textjoin(""~"",True,filter('Gear Info'!$B$7:$AN180,'Gear Info'!$B$7:$B180&lt;&gt;"""",lower('Gear Info'!$B$7:$B180=lower(AC49)))),""~""),1,11),"""")"),"")</f>
        <v/>
      </c>
      <c r="AR49" s="3"/>
      <c r="AS49" s="3"/>
      <c r="AT49" s="3"/>
      <c r="AU49" s="3"/>
      <c r="AV49" s="3"/>
      <c r="AW49" s="3"/>
      <c r="AX49" s="3"/>
      <c r="AY49" s="3"/>
      <c r="AZ49" s="3"/>
      <c r="BA49" s="3"/>
      <c r="BB49" s="3"/>
      <c r="BC49" s="3"/>
    </row>
    <row r="50" ht="15.75" customHeight="1">
      <c r="A50" s="12"/>
      <c r="C50" s="190" t="s">
        <v>82</v>
      </c>
      <c r="D50" s="166"/>
      <c r="E50" s="166"/>
      <c r="F50" s="166"/>
      <c r="G50" s="166"/>
      <c r="H50" s="166"/>
      <c r="I50" s="191" t="str">
        <f>IFERROR(__xludf.DUMMYFUNCTION("if(AQ64&lt;&gt;"""",if(isnumber(find(""Martial"",AQ64)),""Simple and Martial Weapons"",
 if(isnumber(find(""Simple"",AQ64)),""Simple Weapons""&amp;if(AQ64&lt;&gt;""Simple Weapons"","", "",""""),"""")&amp;textjoin("", "",True,iferror(filter(arrayformula(trim(split(AQ64,"","")"&amp;")),vlookup(arrayformula(trim(split(AQ64,"",""))),'Attack Info'!B7:M180,12,false)&lt;&gt;if(isnumber(find(""Simple"",AQ64)),""Simple"",""""))))),""Autofills based on Class &amp; Race"")"),"Autofills based on Class &amp; Race")</f>
        <v>Autofills based on Class &amp; Race</v>
      </c>
      <c r="J50" s="166"/>
      <c r="K50" s="166"/>
      <c r="L50" s="166"/>
      <c r="M50" s="166"/>
      <c r="N50" s="166"/>
      <c r="R50" s="183"/>
      <c r="S50" s="74"/>
      <c r="T50" s="74"/>
      <c r="U50" s="74"/>
      <c r="V50" s="74"/>
      <c r="W50" s="74"/>
      <c r="X50" s="74"/>
      <c r="Y50" s="74"/>
      <c r="Z50" s="74"/>
      <c r="AC50" s="192"/>
      <c r="AD50" s="193"/>
      <c r="AE50" s="193"/>
      <c r="AF50" s="193"/>
      <c r="AG50" s="193"/>
      <c r="AH50" s="193"/>
      <c r="AI50" s="193"/>
      <c r="AJ50" s="193"/>
      <c r="AK50" s="193"/>
      <c r="AL50" s="193"/>
      <c r="AM50" s="193"/>
      <c r="AN50" s="193"/>
      <c r="AP50" s="12"/>
      <c r="AQ50" s="3" t="str">
        <f>IFERROR(__xludf.DUMMYFUNCTION("iferror(array_constrain(split(textjoin(""~"",True,filter('Gear Info'!$B$7:$AN180,'Gear Info'!$B$7:$B180&lt;&gt;"""",lower('Gear Info'!$B$7:$B180=lower(AC50)))),""~""),1,11),"""")"),"")</f>
        <v/>
      </c>
      <c r="AR50" s="3"/>
      <c r="AS50" s="3"/>
      <c r="AT50" s="3"/>
      <c r="AU50" s="3"/>
      <c r="AV50" s="3"/>
      <c r="AW50" s="3"/>
      <c r="AX50" s="3"/>
      <c r="AY50" s="3"/>
      <c r="AZ50" s="3"/>
      <c r="BA50" s="3"/>
      <c r="BB50" s="3"/>
      <c r="BC50" s="3"/>
    </row>
    <row r="51" ht="15.75" customHeight="1">
      <c r="A51" s="12"/>
      <c r="C51" s="190" t="str">
        <f>IFERROR(__xludf.DUMMYFUNCTION("if(iferror(sum(filter(int(left(regexextract(lower({AZ5;AW6:AW15}),""[0-9] vehicle""),1)),regexmatch(lower({AZ5;AW6:AW15}),""[0-9] vehicle""))))+iferror(vlookup(lower(AJ11),AX69:BB180,5,false))=0,"""",iferror(sum(filter(int(left(regexextract(lower({AZ5;AW6"&amp;":AW15}),""[0-9] vehicle""),1)),regexmatch(lower({AZ5;AW6:AW15}),""[0-9] vehicle""))))+iferror(vlookup(lower(AJ11),AX69:BB180,5,false)))&amp;"" Vehicle Proficienc""&amp;if(iferror(sum(filter(int(left(regexextract(lower({AZ5;AW6:AW15}),""[0-9] vehicle""),1)),regexm"&amp;"atch(lower({AZ5;AW6:AW15}),""[0-9] vehicle""))))+iferror(vlookup(lower(AJ11),AX69:BB180,5,false))&lt;&gt;1,""ies"",""y"")&amp;"":""")," Vehicle Proficiencies:")</f>
        <v> Vehicle Proficiencies:</v>
      </c>
      <c r="D51" s="166"/>
      <c r="E51" s="166"/>
      <c r="F51" s="166"/>
      <c r="G51" s="166"/>
      <c r="H51" s="166"/>
      <c r="I51" s="194"/>
      <c r="J51" s="166"/>
      <c r="K51" s="166"/>
      <c r="L51" s="166"/>
      <c r="M51" s="166"/>
      <c r="N51" s="166"/>
      <c r="R51" s="183"/>
      <c r="S51" s="74"/>
      <c r="T51" s="74"/>
      <c r="U51" s="74"/>
      <c r="V51" s="74"/>
      <c r="W51" s="74"/>
      <c r="X51" s="74"/>
      <c r="Y51" s="74"/>
      <c r="Z51" s="74"/>
      <c r="AC51" s="195"/>
      <c r="AP51" s="12"/>
      <c r="AQ51" s="3" t="str">
        <f>IFERROR(__xludf.DUMMYFUNCTION("iferror(array_constrain(split(textjoin(""~"",True,filter('Gear Info'!$B$7:$AN180,'Gear Info'!$B$7:$B180&lt;&gt;"""",lower('Gear Info'!$B$7:$B180=lower(AC51)))),""~""),1,11),"""")"),"")</f>
        <v/>
      </c>
      <c r="AR51" s="3"/>
      <c r="AS51" s="3"/>
      <c r="AT51" s="3"/>
      <c r="AU51" s="3"/>
      <c r="AV51" s="3"/>
      <c r="AW51" s="3"/>
      <c r="AX51" s="3"/>
      <c r="AY51" s="3"/>
      <c r="AZ51" s="3"/>
      <c r="BA51" s="3"/>
      <c r="BB51" s="3"/>
      <c r="BC51" s="3"/>
    </row>
    <row r="52" ht="15.75" customHeight="1">
      <c r="A52" s="12"/>
      <c r="C52" s="190" t="str">
        <f>IFERROR(__xludf.DUMMYFUNCTION("if(iferror(sum(filter(int(left(regexextract(lower({AZ5;AW6:AW15}),""[0-9] tool""),1)),regexmatch(lower({AZ5;AW6:AW15}),""[0-9] tool""))))
+iferror(sum(filter(int(left(regexextract(lower({AV6:AV15}),""[0-9] tool""),1)),regexmatch(lower({AV6:AV15}),""[0-9] "&amp;"tool""))))
+iferror(vlookup(lower(AJ11),AX69:BA180,4,false))=0,
"""",
iferror(sum(filter(int(left(regexextract(lower({AZ5;AW6:AW15}),""[0-9] tool""),1)),regexmatch(lower({AZ5;AW6:AW15}),""[0-9] tool""))))
+iferror(sum(filter(int(left(regexextract(lower({A"&amp;"V6:AV15}),""[0-9] tool""),1)),regexmatch(lower({AV6:AV15}),""[0-9] tool""))))
+iferror(vlookup(lower(AJ11),AX69:BA180,4,false)))
&amp;"" Tool Proficienc""&amp;if(iferror(sum(filter(int(left(regexextract(lower({AZ5;AW6:AW15}),""[0-9] tool""),1)),regexmatch(lower({"&amp;"AZ5;AW6:AW15}),""[0-9] tool""))))+iferror(vlookup(lower(AJ11),AX69:BA180,4,false))&lt;&gt;1,""ies"",""y"")&amp;"":""")," Tool Proficiencies:")</f>
        <v> Tool Proficiencies:</v>
      </c>
      <c r="D52" s="166"/>
      <c r="E52" s="166"/>
      <c r="F52" s="166"/>
      <c r="G52" s="166"/>
      <c r="H52" s="166"/>
      <c r="I52" s="194"/>
      <c r="J52" s="166"/>
      <c r="K52" s="166"/>
      <c r="L52" s="166"/>
      <c r="M52" s="166"/>
      <c r="N52" s="166"/>
      <c r="R52" s="183"/>
      <c r="S52" s="74"/>
      <c r="T52" s="74"/>
      <c r="U52" s="74"/>
      <c r="V52" s="74"/>
      <c r="W52" s="74"/>
      <c r="X52" s="74"/>
      <c r="Y52" s="74"/>
      <c r="Z52" s="74"/>
      <c r="AC52" s="184"/>
      <c r="AD52" s="185"/>
      <c r="AE52" s="185"/>
      <c r="AF52" s="185"/>
      <c r="AG52" s="185"/>
      <c r="AH52" s="185"/>
      <c r="AI52" s="185"/>
      <c r="AJ52" s="185"/>
      <c r="AK52" s="185"/>
      <c r="AL52" s="185"/>
      <c r="AM52" s="185"/>
      <c r="AN52" s="185"/>
      <c r="AP52" s="12"/>
      <c r="AQ52" s="3" t="str">
        <f>IFERROR(__xludf.DUMMYFUNCTION("iferror(array_constrain(split(textjoin(""~"",True,filter('Gear Info'!$B$7:$AN180,'Gear Info'!$B$7:$B180&lt;&gt;"""",lower('Gear Info'!$B$7:$B180=lower(AC52)))),""~""),1,11),"""")"),"")</f>
        <v/>
      </c>
      <c r="AR52" s="3"/>
      <c r="AS52" s="3"/>
      <c r="AT52" s="3"/>
      <c r="AU52" s="3"/>
      <c r="AV52" s="3"/>
      <c r="AW52" s="3"/>
      <c r="AX52" s="3"/>
      <c r="AY52" s="3"/>
      <c r="AZ52" s="3"/>
      <c r="BA52" s="3"/>
      <c r="BB52" s="3"/>
      <c r="BC52" s="3"/>
    </row>
    <row r="53" ht="15.75" customHeight="1">
      <c r="A53" s="12"/>
      <c r="C53" s="196" t="s">
        <v>83</v>
      </c>
      <c r="D53" s="166"/>
      <c r="E53" s="166"/>
      <c r="F53" s="166"/>
      <c r="G53" s="166"/>
      <c r="H53" s="166"/>
      <c r="I53" s="194"/>
      <c r="J53" s="166"/>
      <c r="K53" s="166"/>
      <c r="L53" s="166"/>
      <c r="M53" s="166"/>
      <c r="N53" s="166"/>
      <c r="R53" s="183"/>
      <c r="S53" s="74"/>
      <c r="T53" s="74"/>
      <c r="U53" s="74"/>
      <c r="V53" s="74"/>
      <c r="W53" s="74"/>
      <c r="X53" s="74"/>
      <c r="Y53" s="74"/>
      <c r="Z53" s="74"/>
      <c r="AC53" s="184"/>
      <c r="AD53" s="185"/>
      <c r="AE53" s="185"/>
      <c r="AF53" s="185"/>
      <c r="AG53" s="185"/>
      <c r="AH53" s="185"/>
      <c r="AI53" s="185"/>
      <c r="AJ53" s="185"/>
      <c r="AK53" s="185"/>
      <c r="AL53" s="185"/>
      <c r="AM53" s="185"/>
      <c r="AN53" s="185"/>
      <c r="AP53" s="12"/>
      <c r="AQ53" s="3" t="str">
        <f>IFERROR(__xludf.DUMMYFUNCTION("iferror(array_constrain(split(textjoin(""~"",True,filter('Gear Info'!$B$7:$AN180,'Gear Info'!$B$7:$B180&lt;&gt;"""",lower('Gear Info'!$B$7:$B180=lower(AC53)))),""~""),1,11),"""")"),"")</f>
        <v/>
      </c>
      <c r="AR53" s="3"/>
      <c r="AS53" s="3"/>
      <c r="AT53" s="3"/>
      <c r="AU53" s="3"/>
      <c r="AV53" s="3"/>
      <c r="AW53" s="3"/>
      <c r="AX53" s="3"/>
      <c r="AY53" s="3"/>
      <c r="AZ53" s="3"/>
      <c r="BA53" s="3"/>
      <c r="BB53" s="3"/>
      <c r="BC53" s="3"/>
    </row>
    <row r="54" ht="15.75" customHeight="1">
      <c r="A54" s="12"/>
      <c r="C54" s="190" t="s">
        <v>84</v>
      </c>
      <c r="D54" s="166"/>
      <c r="E54" s="166"/>
      <c r="F54" s="166"/>
      <c r="G54" s="166"/>
      <c r="H54" s="166"/>
      <c r="I54" s="191" t="str">
        <f>IFERROR(__xludf.DUMMYFUNCTION("iferror(textjoin("", "",True,arrayformula(int(regexextract(filter(arrayformula(trim(split(racialSpeed,"",""))),regexmatch(arrayformula(trim(split(racialSpeed,"",""))),""[A-Za-z]"")),""[0-9]+""))+speedBonus&amp;"" ft. ""&amp;proper(regexextract(filter(arrayformula"&amp;"(trim(split(racialSpeed,"",""))),regexmatch(arrayformula(trim(split(racialSpeed,"",""))),""[A-Za-z]"")),""[A-Za-z]+"")))),""-"")"),"-")</f>
        <v>-</v>
      </c>
      <c r="J54" s="166"/>
      <c r="K54" s="166"/>
      <c r="L54" s="166"/>
      <c r="M54" s="166"/>
      <c r="N54" s="166"/>
      <c r="R54" s="186"/>
      <c r="S54" s="74"/>
      <c r="T54" s="74"/>
      <c r="U54" s="74"/>
      <c r="V54" s="74"/>
      <c r="W54" s="74"/>
      <c r="X54" s="74"/>
      <c r="Y54" s="74"/>
      <c r="Z54" s="74"/>
      <c r="AC54" s="184"/>
      <c r="AD54" s="185"/>
      <c r="AE54" s="185"/>
      <c r="AF54" s="185"/>
      <c r="AG54" s="185"/>
      <c r="AH54" s="185"/>
      <c r="AI54" s="185"/>
      <c r="AJ54" s="185"/>
      <c r="AK54" s="185"/>
      <c r="AL54" s="185"/>
      <c r="AM54" s="185"/>
      <c r="AN54" s="185"/>
      <c r="AP54" s="12"/>
      <c r="AQ54" s="3" t="str">
        <f>IFERROR(__xludf.DUMMYFUNCTION("iferror(array_constrain(split(textjoin(""~"",True,filter('Gear Info'!$B$7:$AN180,'Gear Info'!$B$7:$B180&lt;&gt;"""",lower('Gear Info'!$B$7:$B180=lower(AC54)))),""~""),1,11),"""")"),"")</f>
        <v/>
      </c>
      <c r="AR54" s="3"/>
      <c r="AS54" s="3"/>
      <c r="AT54" s="3"/>
      <c r="AU54" s="3"/>
      <c r="AV54" s="3"/>
      <c r="AW54" s="3"/>
      <c r="AX54" s="3"/>
      <c r="AY54" s="3"/>
      <c r="AZ54" s="3"/>
      <c r="BA54" s="3"/>
      <c r="BB54" s="3"/>
      <c r="BC54" s="3"/>
    </row>
    <row r="55" ht="15.75" customHeight="1">
      <c r="A55" s="12"/>
      <c r="C55" s="190"/>
      <c r="D55" s="166"/>
      <c r="E55" s="166"/>
      <c r="F55" s="166"/>
      <c r="G55" s="166"/>
      <c r="H55" s="166"/>
      <c r="I55" s="191"/>
      <c r="J55" s="166"/>
      <c r="K55" s="166"/>
      <c r="L55" s="166"/>
      <c r="M55" s="166"/>
      <c r="N55" s="166"/>
      <c r="R55" s="183"/>
      <c r="S55" s="74"/>
      <c r="T55" s="74"/>
      <c r="U55" s="74"/>
      <c r="V55" s="74"/>
      <c r="W55" s="74"/>
      <c r="X55" s="74"/>
      <c r="Y55" s="74"/>
      <c r="Z55" s="74"/>
      <c r="AC55" s="184"/>
      <c r="AD55" s="185"/>
      <c r="AE55" s="185"/>
      <c r="AF55" s="185"/>
      <c r="AG55" s="185"/>
      <c r="AH55" s="185"/>
      <c r="AI55" s="185"/>
      <c r="AJ55" s="185"/>
      <c r="AK55" s="185"/>
      <c r="AL55" s="185"/>
      <c r="AM55" s="185"/>
      <c r="AN55" s="185"/>
      <c r="AP55" s="12"/>
      <c r="AQ55" s="3" t="str">
        <f>IFERROR(__xludf.DUMMYFUNCTION("iferror(array_constrain(split(textjoin(""~"",True,filter('Gear Info'!$B$7:$AN180,'Gear Info'!$B$7:$B180&lt;&gt;"""",lower('Gear Info'!$B$7:$B180=lower(AC55)))),""~""),1,11),"""")"),"")</f>
        <v/>
      </c>
      <c r="AR55" s="3"/>
      <c r="AS55" s="3"/>
      <c r="AT55" s="3"/>
      <c r="AU55" s="3"/>
      <c r="AV55" s="3"/>
      <c r="AW55" s="3"/>
      <c r="AX55" s="3"/>
      <c r="AY55" s="3"/>
      <c r="AZ55" s="3"/>
      <c r="BA55" s="3"/>
      <c r="BB55" s="3"/>
      <c r="BC55" s="3"/>
    </row>
    <row r="56" ht="15.75" customHeight="1">
      <c r="A56" s="12"/>
      <c r="C56" s="197" t="s">
        <v>85</v>
      </c>
      <c r="D56" s="84"/>
      <c r="E56" s="84"/>
      <c r="F56" s="84"/>
      <c r="G56" s="84"/>
      <c r="H56" s="84"/>
      <c r="I56" s="84"/>
      <c r="J56" s="84"/>
      <c r="K56" s="84"/>
      <c r="L56" s="84"/>
      <c r="M56" s="84"/>
      <c r="N56" s="84"/>
      <c r="R56" s="183"/>
      <c r="S56" s="74"/>
      <c r="T56" s="74"/>
      <c r="U56" s="74"/>
      <c r="V56" s="74"/>
      <c r="W56" s="74"/>
      <c r="X56" s="74"/>
      <c r="Y56" s="74"/>
      <c r="Z56" s="74"/>
      <c r="AC56" s="192"/>
      <c r="AD56" s="193"/>
      <c r="AE56" s="193"/>
      <c r="AF56" s="193"/>
      <c r="AG56" s="193"/>
      <c r="AH56" s="193"/>
      <c r="AI56" s="193"/>
      <c r="AJ56" s="193"/>
      <c r="AK56" s="193"/>
      <c r="AL56" s="193"/>
      <c r="AM56" s="193"/>
      <c r="AN56" s="193"/>
      <c r="AP56" s="12"/>
      <c r="AQ56" s="3" t="str">
        <f>IFERROR(__xludf.DUMMYFUNCTION("iferror(array_constrain(split(textjoin(""~"",True,filter('Gear Info'!$B$7:$AN180,'Gear Info'!$B$7:$B180&lt;&gt;"""",lower('Gear Info'!$B$7:$B180=lower(AC56)))),""~""),1,11),"""")"),"")</f>
        <v/>
      </c>
      <c r="AR56" s="3"/>
      <c r="AS56" s="3"/>
      <c r="AT56" s="3"/>
      <c r="AU56" s="3"/>
      <c r="AV56" s="3"/>
      <c r="AW56" s="3"/>
      <c r="AX56" s="3"/>
      <c r="AY56" s="3"/>
      <c r="AZ56" s="3"/>
      <c r="BA56" s="3"/>
      <c r="BB56" s="3"/>
      <c r="BC56" s="3"/>
    </row>
    <row r="57" ht="15.75" customHeight="1">
      <c r="A57" s="12"/>
      <c r="C57" s="198" t="str">
        <f>IMAGE("https://i.imgur.com/Prga8uY.png",4, 20, 251)</f>
        <v/>
      </c>
      <c r="R57" s="197" t="str">
        <f>if(AQ58&lt;&gt;"",if(AQ58&gt;counta(R45:Z56),
"SELECT "&amp;AQ58-counta(R45:Z56)&amp;" MORE ",if(AQ58&lt;counta(R45:Z56),"TOO MANY ","")),"")&amp;"LANGUAGE"&amp;if(AQ58-counta(R45:Z56)&lt;&gt;1,"S","")&amp;if(AQ58&lt;&gt;"",if(AQ58&lt;counta(R45:Z56)," SELECTED!",""),"")</f>
        <v>LANGUAGES</v>
      </c>
      <c r="S57" s="84"/>
      <c r="T57" s="84"/>
      <c r="U57" s="84"/>
      <c r="V57" s="84"/>
      <c r="W57" s="84"/>
      <c r="X57" s="84"/>
      <c r="Y57" s="84"/>
      <c r="Z57" s="84"/>
      <c r="AC57" s="175" t="str">
        <f>if(and(AQ65&lt;&gt;"",AQ66&lt;&gt;True),"You aren't proficient with your armor/shield!","EQUIPPED ITEMS")</f>
        <v>EQUIPPED ITEMS</v>
      </c>
      <c r="AD57" s="31"/>
      <c r="AE57" s="31"/>
      <c r="AF57" s="31"/>
      <c r="AG57" s="31"/>
      <c r="AH57" s="31"/>
      <c r="AI57" s="31"/>
      <c r="AJ57" s="31"/>
      <c r="AK57" s="31"/>
      <c r="AL57" s="31"/>
      <c r="AM57" s="31"/>
      <c r="AN57" s="31"/>
      <c r="AP57" s="199"/>
      <c r="AQ57" s="3"/>
      <c r="AR57" s="3"/>
      <c r="AS57" s="3"/>
      <c r="AT57" s="3"/>
      <c r="AU57" s="3"/>
      <c r="AV57" s="3"/>
      <c r="AW57" s="3"/>
      <c r="AX57" s="3"/>
      <c r="AY57" s="3"/>
      <c r="AZ57" s="3"/>
      <c r="BA57" s="159"/>
      <c r="BB57" s="159"/>
      <c r="BC57" s="26"/>
    </row>
    <row r="58" ht="15.75" customHeight="1">
      <c r="A58" s="12"/>
      <c r="C58" s="199"/>
      <c r="R58" s="5"/>
      <c r="S58" s="200"/>
      <c r="T58" s="5"/>
      <c r="U58" s="5"/>
      <c r="V58" s="5"/>
      <c r="W58" s="5"/>
      <c r="X58" s="147"/>
      <c r="Y58" s="147"/>
      <c r="Z58" s="201"/>
      <c r="AC58" s="202"/>
      <c r="AD58" s="203"/>
      <c r="AE58" s="203"/>
      <c r="AF58" s="203"/>
      <c r="AG58" s="203"/>
      <c r="AH58" s="203"/>
      <c r="AI58" s="203"/>
      <c r="AJ58" s="203"/>
      <c r="AK58" s="203"/>
      <c r="AL58" s="203"/>
      <c r="AM58" s="203"/>
      <c r="AN58" s="203"/>
      <c r="AP58" s="199"/>
      <c r="AQ58" s="3" t="str">
        <f>IFERROR(__xludf.DUMMYFUNCTION("if(and(level&lt;&gt;"""",race&lt;&gt;""""),
 counta(arrayformula(trim(split(proper(textjoin("", "",true,regexreplace(lower(AW5),"", [a-z0-9]+ extr[a-z ]+"",""""),arrayformula(iferror(regexextract(proper(AW16),AV69:AV180),"""")),arrayformula(iferror(regexextract(prope"&amp;"r(AW16),AW69:AW180),"""")))),"",""))))
+iferror(vlookup(lower(AJ11),AX69:AZ180,3,false),0)
+sum(iferror(filter(int(trim(left(regexextract(lower({AW5:AW15}),""[0-9]+ extra""),2))),regexmatch(lower({AW5:AW15}),""[0-9]+ extra"")),0))
+if(isnumber(find(""ling"&amp;"uist"",feats)),3,0),"""")"),"")</f>
        <v/>
      </c>
      <c r="AR58" s="3" t="str">
        <f>IFERROR(__xludf.DUMMYFUNCTION("if(and(level&lt;&gt;"""",race&lt;&gt;""""),iferror(sum(split(textjoin(""-"",True,$AY$26,$AY$45:$AY$56),""-"")),0),"""")"),"")</f>
        <v/>
      </c>
      <c r="AS58" s="3" t="str">
        <f>IFERROR(__xludf.DUMMYFUNCTION("if(and(level&lt;&gt;"""",race&lt;&gt;""""),iferror(sum(split(textjoin(""-"",True,$AZ$26,$AZ$45:$AZ$56),""-"")),0),"""")"),"")</f>
        <v/>
      </c>
      <c r="AT58" s="3"/>
      <c r="AU58" s="3"/>
      <c r="AV58" s="3"/>
      <c r="AW58" s="3"/>
      <c r="AX58" s="3"/>
      <c r="AY58" s="3"/>
      <c r="AZ58" s="3"/>
      <c r="BA58" s="159"/>
      <c r="BB58" s="159"/>
      <c r="BC58" s="26"/>
    </row>
    <row r="59" ht="15.75" customHeight="1">
      <c r="A59" s="12"/>
      <c r="C59" s="204"/>
      <c r="D59" s="70"/>
      <c r="E59" s="70"/>
      <c r="F59" s="70"/>
      <c r="G59" s="70"/>
      <c r="H59" s="70"/>
      <c r="I59" s="70"/>
      <c r="J59" s="70"/>
      <c r="K59" s="70"/>
      <c r="L59" s="70"/>
      <c r="M59" s="70"/>
      <c r="N59" s="70"/>
      <c r="O59" s="205" t="str">
        <f>image("https://i.imgur.com/EAKVSyc.png",4, 566, 20)</f>
        <v/>
      </c>
      <c r="P59" s="206"/>
      <c r="Q59" s="70"/>
      <c r="R59" s="70"/>
      <c r="S59" s="70"/>
      <c r="T59" s="70"/>
      <c r="U59" s="70"/>
      <c r="V59" s="70"/>
      <c r="W59" s="70"/>
      <c r="X59" s="70"/>
      <c r="Y59" s="70"/>
      <c r="Z59" s="70"/>
      <c r="AA59" s="70"/>
      <c r="AB59" s="207" t="str">
        <f>image("https://i.imgur.com/EAKVSyc.png",4, 566, 20)</f>
        <v/>
      </c>
      <c r="AC59" s="204"/>
      <c r="AD59" s="70"/>
      <c r="AE59" s="70"/>
      <c r="AF59" s="70"/>
      <c r="AG59" s="70"/>
      <c r="AH59" s="70"/>
      <c r="AI59" s="70"/>
      <c r="AJ59" s="70"/>
      <c r="AK59" s="70"/>
      <c r="AL59" s="70"/>
      <c r="AM59" s="70"/>
      <c r="AN59" s="70"/>
      <c r="AP59" s="199"/>
      <c r="AQ59" s="3" t="str">
        <f>if(BardLevel&gt;=2,floor(0.5*proficiencyBonus,1),"")</f>
        <v/>
      </c>
      <c r="AR59" s="159"/>
      <c r="AS59" s="3"/>
      <c r="AT59" s="3"/>
      <c r="AU59" s="3"/>
      <c r="AV59" s="8"/>
      <c r="AW59" s="3"/>
      <c r="AX59" s="3"/>
      <c r="AY59" s="3"/>
      <c r="AZ59" s="3"/>
      <c r="BA59" s="159"/>
      <c r="BB59" s="159"/>
      <c r="BC59" s="26"/>
    </row>
    <row r="60" ht="15.75" customHeight="1">
      <c r="A60" s="12"/>
      <c r="C60" s="208"/>
      <c r="D60" s="74"/>
      <c r="E60" s="74"/>
      <c r="F60" s="74"/>
      <c r="G60" s="74"/>
      <c r="H60" s="74"/>
      <c r="I60" s="74"/>
      <c r="J60" s="74"/>
      <c r="K60" s="74"/>
      <c r="L60" s="74"/>
      <c r="M60" s="74"/>
      <c r="N60" s="74"/>
      <c r="P60" s="209"/>
      <c r="Q60" s="74"/>
      <c r="R60" s="74"/>
      <c r="S60" s="74"/>
      <c r="T60" s="74"/>
      <c r="U60" s="74"/>
      <c r="V60" s="74"/>
      <c r="W60" s="74"/>
      <c r="X60" s="74"/>
      <c r="Y60" s="74"/>
      <c r="Z60" s="74"/>
      <c r="AA60" s="74"/>
      <c r="AC60" s="208"/>
      <c r="AD60" s="74"/>
      <c r="AE60" s="74"/>
      <c r="AF60" s="74"/>
      <c r="AG60" s="74"/>
      <c r="AH60" s="74"/>
      <c r="AI60" s="74"/>
      <c r="AJ60" s="74"/>
      <c r="AK60" s="74"/>
      <c r="AL60" s="74"/>
      <c r="AM60" s="74"/>
      <c r="AN60" s="74"/>
      <c r="AP60" s="12"/>
      <c r="AQ60" s="3" t="str">
        <f>IFERROR(__xludf.DUMMYFUNCTION("lower(textjoin("" "",true,iferror(filter($C$59:$C$84,isnumber(find(""feat:"",lower($C$59:$C$84)))),""""),iferror(filter($P$59:$P$84,isnumber(find(""feat:"",lower($P$59:$P$84)))),""""),iferror(filter($AC$59:$AC$84,isnumber(find(""feat:"",lower($AC$59:$AC$8"&amp;"4)))),"""")))"),"")</f>
        <v/>
      </c>
      <c r="AR60" s="3"/>
      <c r="AS60" s="3"/>
      <c r="AT60" s="3"/>
      <c r="AU60" s="3"/>
      <c r="AV60" s="3"/>
      <c r="AW60" s="8"/>
      <c r="AX60" s="8"/>
      <c r="AY60" s="3"/>
      <c r="AZ60" s="3"/>
      <c r="BA60" s="159"/>
      <c r="BB60" s="159"/>
      <c r="BC60" s="26"/>
    </row>
    <row r="61" ht="15.75" customHeight="1">
      <c r="A61" s="12"/>
      <c r="C61" s="208"/>
      <c r="D61" s="74"/>
      <c r="E61" s="74"/>
      <c r="F61" s="74"/>
      <c r="G61" s="74"/>
      <c r="H61" s="74"/>
      <c r="I61" s="74"/>
      <c r="J61" s="74"/>
      <c r="K61" s="74"/>
      <c r="L61" s="74"/>
      <c r="M61" s="74"/>
      <c r="N61" s="74"/>
      <c r="P61" s="209"/>
      <c r="Q61" s="74"/>
      <c r="R61" s="74"/>
      <c r="S61" s="74"/>
      <c r="T61" s="74"/>
      <c r="U61" s="74"/>
      <c r="V61" s="74"/>
      <c r="W61" s="74"/>
      <c r="X61" s="74"/>
      <c r="Y61" s="74"/>
      <c r="Z61" s="74"/>
      <c r="AA61" s="74"/>
      <c r="AC61" s="208"/>
      <c r="AD61" s="74"/>
      <c r="AE61" s="74"/>
      <c r="AF61" s="74"/>
      <c r="AG61" s="74"/>
      <c r="AH61" s="74"/>
      <c r="AI61" s="74"/>
      <c r="AJ61" s="74"/>
      <c r="AK61" s="74"/>
      <c r="AL61" s="74"/>
      <c r="AM61" s="74"/>
      <c r="AN61" s="74"/>
      <c r="AP61" s="12"/>
      <c r="AQ61" s="3" t="str">
        <f>IFERROR(__xludf.DUMMYFUNCTION("lower(textjoin("" "",true,iferror(filter($C$59:$C$84,isnumber(find(""invocation:"",lower($C$59:$C$84)))),""""),iferror(filter($P$59:$P$84,isnumber(find(""invocation:"",lower($P$59:$P$84)))),""""),iferror(filter($AC$59:$AC$84,isnumber(find(""invocation:"","&amp;"lower($AC$59:$AC$84)))),"""")))"),"")</f>
        <v/>
      </c>
      <c r="AR61" s="3"/>
      <c r="AS61" s="3"/>
      <c r="AT61" s="3"/>
      <c r="AU61" s="210"/>
      <c r="AV61" s="211" t="s">
        <v>86</v>
      </c>
      <c r="AW61" s="211" t="s">
        <v>87</v>
      </c>
      <c r="AX61" s="211" t="s">
        <v>88</v>
      </c>
      <c r="AY61" s="212" t="s">
        <v>89</v>
      </c>
      <c r="AZ61" s="212" t="s">
        <v>90</v>
      </c>
      <c r="BA61" s="212" t="s">
        <v>91</v>
      </c>
      <c r="BB61" s="212" t="s">
        <v>92</v>
      </c>
      <c r="BC61" s="213" t="s">
        <v>93</v>
      </c>
    </row>
    <row r="62" ht="15.75" customHeight="1">
      <c r="A62" s="12"/>
      <c r="C62" s="208"/>
      <c r="D62" s="74"/>
      <c r="E62" s="74"/>
      <c r="F62" s="74"/>
      <c r="G62" s="74"/>
      <c r="H62" s="74"/>
      <c r="I62" s="74"/>
      <c r="J62" s="74"/>
      <c r="K62" s="74"/>
      <c r="L62" s="74"/>
      <c r="M62" s="74"/>
      <c r="N62" s="74"/>
      <c r="P62" s="209"/>
      <c r="Q62" s="74"/>
      <c r="R62" s="74"/>
      <c r="S62" s="74"/>
      <c r="T62" s="74"/>
      <c r="U62" s="74"/>
      <c r="V62" s="74"/>
      <c r="W62" s="74"/>
      <c r="X62" s="74"/>
      <c r="Y62" s="74"/>
      <c r="Z62" s="74"/>
      <c r="AA62" s="74"/>
      <c r="AC62" s="208"/>
      <c r="AD62" s="74"/>
      <c r="AE62" s="74"/>
      <c r="AF62" s="74"/>
      <c r="AG62" s="74"/>
      <c r="AH62" s="74"/>
      <c r="AI62" s="74"/>
      <c r="AJ62" s="74"/>
      <c r="AK62" s="74"/>
      <c r="AL62" s="74"/>
      <c r="AM62" s="74"/>
      <c r="AN62" s="74"/>
      <c r="AP62" s="12"/>
      <c r="AQ62" s="3" t="str">
        <f>IFERROR(__xludf.DUMMYFUNCTION("lower(textjoin("" "",true,iferror(filter($C$59:$C$84,isnumber(find(""fighting style:"",lower($C$59:$C$84)))),""""),iferror(filter($P$59:$P$84,isnumber(find(""fighting style:"",lower($P$59:$P$84)))),""""),iferror(filter($AC$59:$AC$84,isnumber(find(""fighti"&amp;"ng style:"",lower($AC$59:$AC$84)))),"""")))"),"")</f>
        <v/>
      </c>
      <c r="AR62" s="3"/>
      <c r="AS62" s="3"/>
      <c r="AT62" s="3"/>
      <c r="AU62" s="210"/>
    </row>
    <row r="63" ht="15.75" customHeight="1">
      <c r="A63" s="12"/>
      <c r="C63" s="208"/>
      <c r="D63" s="74"/>
      <c r="E63" s="74"/>
      <c r="F63" s="74"/>
      <c r="G63" s="74"/>
      <c r="H63" s="74"/>
      <c r="I63" s="74"/>
      <c r="J63" s="74"/>
      <c r="K63" s="74"/>
      <c r="L63" s="74"/>
      <c r="M63" s="74"/>
      <c r="N63" s="74"/>
      <c r="P63" s="209"/>
      <c r="Q63" s="74"/>
      <c r="R63" s="74"/>
      <c r="S63" s="74"/>
      <c r="T63" s="74"/>
      <c r="U63" s="74"/>
      <c r="V63" s="74"/>
      <c r="W63" s="74"/>
      <c r="X63" s="74"/>
      <c r="Y63" s="74"/>
      <c r="Z63" s="74"/>
      <c r="AA63" s="74"/>
      <c r="AC63" s="208"/>
      <c r="AD63" s="74"/>
      <c r="AE63" s="74"/>
      <c r="AF63" s="74"/>
      <c r="AG63" s="74"/>
      <c r="AH63" s="74"/>
      <c r="AI63" s="74"/>
      <c r="AJ63" s="74"/>
      <c r="AK63" s="74"/>
      <c r="AL63" s="74"/>
      <c r="AM63" s="74"/>
      <c r="AN63" s="74"/>
      <c r="AP63" s="12"/>
      <c r="AQ63" s="3" t="str">
        <f>IFERROR(__xludf.DUMMYFUNCTION("lower(textjoin("" "",true,
iferror(filter($C$59:$C$84,regexmatch(lower($C$59:$C$84),""\([a-z ]+\)"")),""""),
iferror(filter($P$59:$P$84,regexmatch(lower($P$59:$P$84),""\([a-z ]+\)"")),""""),
iferror(filter($AC$59:$AC$84,regexmatch(lower($AC$59:$AC$84),""\"&amp;"([a-z ]+\)"")),"""")))"),"")</f>
        <v/>
      </c>
      <c r="AR63" s="3"/>
      <c r="AS63" s="3"/>
      <c r="AT63" s="3"/>
      <c r="AU63" s="210"/>
    </row>
    <row r="64" ht="15.75" customHeight="1">
      <c r="A64" s="12"/>
      <c r="C64" s="208"/>
      <c r="D64" s="74"/>
      <c r="E64" s="74"/>
      <c r="F64" s="74"/>
      <c r="G64" s="74"/>
      <c r="H64" s="74"/>
      <c r="I64" s="74"/>
      <c r="J64" s="74"/>
      <c r="K64" s="74"/>
      <c r="L64" s="74"/>
      <c r="M64" s="74"/>
      <c r="N64" s="74"/>
      <c r="P64" s="209"/>
      <c r="Q64" s="74"/>
      <c r="R64" s="74"/>
      <c r="S64" s="74"/>
      <c r="T64" s="74"/>
      <c r="U64" s="74"/>
      <c r="V64" s="74"/>
      <c r="W64" s="74"/>
      <c r="X64" s="74"/>
      <c r="Y64" s="74"/>
      <c r="Z64" s="74"/>
      <c r="AA64" s="74"/>
      <c r="AC64" s="208"/>
      <c r="AD64" s="74"/>
      <c r="AE64" s="74"/>
      <c r="AF64" s="74"/>
      <c r="AG64" s="74"/>
      <c r="AH64" s="74"/>
      <c r="AI64" s="74"/>
      <c r="AJ64" s="74"/>
      <c r="AK64" s="74"/>
      <c r="AL64" s="74"/>
      <c r="AM64" s="74"/>
      <c r="AN64" s="74"/>
      <c r="AP64" s="12"/>
      <c r="AQ64" s="8" t="str">
        <f>IFERROR(__xludf.DUMMYFUNCTION("iferror(textjoin("", "",True,I53,filter(unique(transpose(arrayformula(trim(split(AW16,"",""))))),
iserror(find(""armor"",unique(transpose(arrayformula(trim(lower(split(AW16,"","")))))))),
iserror(find(""shield"",unique(transpose(arrayformula(trim(lower(sp"&amp;"lit(AW16,"","")))))))),
iserror(find(""skill"",unique(transpose(arrayformula(trim(lower(split(AW16,"","")))))))),
iserror(find(""tool"",unique(transpose(arrayformula(trim(lower(split(AW16,"","")))))))),
iserror(find(""extra"",unique(transpose(arrayformula"&amp;"(trim(lower(split(AW16,"","")))))))),
iserror(find(""nometal"",unique(transpose(arrayformula(trim(lower(split(AW16,"","")))))))),
iserror(find(""vehicle"",unique(transpose(arrayformula(trim(lower(split(AW16,"","")))))))),
iserror(find(""damage"",unique(tr"&amp;"anspose(arrayformula(trim(lower(split(AW16,"","")))))))),
iserror(find(unique(transpose(arrayformula(trim(lower(split(AW16,"","")))))),lower(textjoin("" "",true,AV69:AW180)))),
unique(transpose(arrayformula(trim(lower(split(AW16,"",""))))))&lt;&gt;""-"",
iserro"&amp;"r(find(unique(transpose(arrayformula(trim(split(AW16,"",""))))),textjoin(""~"",True,J17:J42))),
not(regexmatch(unique(transpose(arrayformula(trim(split(lower(AW16),"",""))))),""choose [0-9]""))),
iferror(filter('Attack Info'!B7:B180,regexmatch(Additional!"&amp;"AR79,""proficiency with[a-z ]+""&amp;lower('Attack Info'!B7:B180))),"""")),"""")"),"")</f>
        <v/>
      </c>
      <c r="AR64" s="3"/>
      <c r="AS64" s="8"/>
      <c r="AT64" s="8"/>
      <c r="AU64" s="210"/>
    </row>
    <row r="65" ht="15.75" customHeight="1">
      <c r="A65" s="12"/>
      <c r="C65" s="208"/>
      <c r="D65" s="74"/>
      <c r="E65" s="74"/>
      <c r="F65" s="74"/>
      <c r="G65" s="74"/>
      <c r="H65" s="74"/>
      <c r="I65" s="74"/>
      <c r="J65" s="74"/>
      <c r="K65" s="74"/>
      <c r="L65" s="74"/>
      <c r="M65" s="74"/>
      <c r="N65" s="74"/>
      <c r="P65" s="209"/>
      <c r="Q65" s="74"/>
      <c r="R65" s="74"/>
      <c r="S65" s="74"/>
      <c r="T65" s="74"/>
      <c r="U65" s="74"/>
      <c r="V65" s="74"/>
      <c r="W65" s="74"/>
      <c r="X65" s="74"/>
      <c r="Y65" s="74"/>
      <c r="Z65" s="74"/>
      <c r="AA65" s="74"/>
      <c r="AC65" s="208"/>
      <c r="AD65" s="74"/>
      <c r="AE65" s="74"/>
      <c r="AF65" s="74"/>
      <c r="AG65" s="74"/>
      <c r="AH65" s="74"/>
      <c r="AI65" s="74"/>
      <c r="AJ65" s="74"/>
      <c r="AK65" s="74"/>
      <c r="AL65" s="74"/>
      <c r="AM65" s="74"/>
      <c r="AN65" s="74"/>
      <c r="AP65" s="12"/>
      <c r="AQ65" s="3" t="str">
        <f>IFERROR(__xludf.DUMMYFUNCTION("if(AQ6&lt;&gt;"""",iferror(textjoin("", "",True,iferror(filter(unique(transpose(arrayformula(trim(split(AW16,"",""))))),
isnumber(find(""armor"",unique(transpose(arrayformula(trim(lower(split(AW16,"",""))))))))+
isnumber(find(""shield"",unique(transpose(arrayfo"&amp;"rmula(trim(lower(split(AW16,"","")))))))),
iserror(find(unique(transpose(arrayformula(trim(split(AW16,"",""))))),textjoin(""~"",True,J17:J42))),
not(regexmatch(unique(transpose(arrayformula(trim(split(lower(AW16),"",""))))),""choose [0-9]""))),""None""),
"&amp;"if(isnumber(find(""heavily armored"",feats)),""Heavy Armor"",""""),
if(isnumber(find(""moderately armored"",feats)),""Medium Armor, Shields"",""""),
if(isnumber(find(""lightly armored"",feats)),""Light Armor"",""""),
if(isnumber(find(""heavy armor"",lower"&amp;"(I53))),"" Heavy Armor"",""""),
if(isnumber(find(""medium"",lower(I53))),"" Medium Armor"",""""),
if(isnumber(find(""shield"",lower(I53))),"" Shields"","""")),""None""),"""")"),"")</f>
        <v/>
      </c>
      <c r="AR65" s="3"/>
      <c r="AS65" s="3"/>
      <c r="AT65" s="3"/>
      <c r="AU65" s="210"/>
    </row>
    <row r="66" ht="15.75" customHeight="1">
      <c r="A66" s="12"/>
      <c r="C66" s="208"/>
      <c r="D66" s="74"/>
      <c r="E66" s="74"/>
      <c r="F66" s="74"/>
      <c r="G66" s="74"/>
      <c r="H66" s="74"/>
      <c r="I66" s="74"/>
      <c r="J66" s="74"/>
      <c r="K66" s="74"/>
      <c r="L66" s="74"/>
      <c r="M66" s="74"/>
      <c r="N66" s="74"/>
      <c r="P66" s="209"/>
      <c r="Q66" s="74"/>
      <c r="R66" s="74"/>
      <c r="S66" s="74"/>
      <c r="T66" s="74"/>
      <c r="U66" s="74"/>
      <c r="V66" s="74"/>
      <c r="W66" s="74"/>
      <c r="X66" s="74"/>
      <c r="Y66" s="74"/>
      <c r="Z66" s="74"/>
      <c r="AA66" s="74"/>
      <c r="AC66" s="208"/>
      <c r="AD66" s="74"/>
      <c r="AE66" s="74"/>
      <c r="AF66" s="74"/>
      <c r="AG66" s="74"/>
      <c r="AH66" s="74"/>
      <c r="AI66" s="74"/>
      <c r="AJ66" s="74"/>
      <c r="AK66" s="74"/>
      <c r="AL66" s="74"/>
      <c r="AM66" s="74"/>
      <c r="AN66" s="74"/>
      <c r="AP66" s="12"/>
      <c r="AQ66" s="3" t="str">
        <f>if(and(isnumber(find(lower(AT24),lower(armorProficiencies))),isnumber(find(lower(AT25),lower(armorProficiencies)))),True,"")</f>
        <v/>
      </c>
      <c r="AR66" s="3"/>
      <c r="AS66" s="3"/>
      <c r="AT66" s="3"/>
      <c r="AU66" s="210"/>
    </row>
    <row r="67" ht="15.75" customHeight="1">
      <c r="A67" s="12"/>
      <c r="C67" s="208"/>
      <c r="D67" s="74"/>
      <c r="E67" s="74"/>
      <c r="F67" s="74"/>
      <c r="G67" s="74"/>
      <c r="H67" s="74"/>
      <c r="I67" s="74"/>
      <c r="J67" s="74"/>
      <c r="K67" s="74"/>
      <c r="L67" s="74"/>
      <c r="M67" s="74"/>
      <c r="N67" s="74"/>
      <c r="P67" s="209"/>
      <c r="Q67" s="74"/>
      <c r="R67" s="74"/>
      <c r="S67" s="74"/>
      <c r="T67" s="74"/>
      <c r="U67" s="74"/>
      <c r="V67" s="74"/>
      <c r="W67" s="74"/>
      <c r="X67" s="74"/>
      <c r="Y67" s="74"/>
      <c r="Z67" s="74"/>
      <c r="AA67" s="74"/>
      <c r="AC67" s="208"/>
      <c r="AD67" s="74"/>
      <c r="AE67" s="74"/>
      <c r="AF67" s="74"/>
      <c r="AG67" s="74"/>
      <c r="AH67" s="74"/>
      <c r="AI67" s="74"/>
      <c r="AJ67" s="74"/>
      <c r="AK67" s="74"/>
      <c r="AL67" s="74"/>
      <c r="AM67" s="74"/>
      <c r="AN67" s="74"/>
      <c r="AP67" s="12"/>
      <c r="AQ67" s="3"/>
      <c r="AR67" s="3"/>
      <c r="AS67" s="3"/>
      <c r="AT67" s="3"/>
      <c r="AU67" s="210"/>
    </row>
    <row r="68" ht="15.75" customHeight="1">
      <c r="A68" s="12"/>
      <c r="C68" s="208"/>
      <c r="D68" s="74"/>
      <c r="E68" s="74"/>
      <c r="F68" s="74"/>
      <c r="G68" s="74"/>
      <c r="H68" s="74"/>
      <c r="I68" s="74"/>
      <c r="J68" s="74"/>
      <c r="K68" s="74"/>
      <c r="L68" s="74"/>
      <c r="M68" s="74"/>
      <c r="N68" s="74"/>
      <c r="P68" s="209"/>
      <c r="Q68" s="74"/>
      <c r="R68" s="74"/>
      <c r="S68" s="74"/>
      <c r="T68" s="74"/>
      <c r="U68" s="74"/>
      <c r="V68" s="74"/>
      <c r="W68" s="74"/>
      <c r="X68" s="74"/>
      <c r="Y68" s="74"/>
      <c r="Z68" s="74"/>
      <c r="AA68" s="74"/>
      <c r="AC68" s="208"/>
      <c r="AD68" s="74"/>
      <c r="AE68" s="74"/>
      <c r="AF68" s="74"/>
      <c r="AG68" s="74"/>
      <c r="AH68" s="74"/>
      <c r="AI68" s="74"/>
      <c r="AJ68" s="74"/>
      <c r="AK68" s="74"/>
      <c r="AL68" s="74"/>
      <c r="AM68" s="74"/>
      <c r="AN68" s="74"/>
      <c r="AP68" s="12"/>
      <c r="AQ68" s="3"/>
      <c r="AR68" s="214"/>
      <c r="AS68" s="215"/>
      <c r="AT68" s="3"/>
      <c r="AU68" s="210"/>
    </row>
    <row r="69" ht="15.75" customHeight="1">
      <c r="A69" s="12"/>
      <c r="C69" s="208"/>
      <c r="D69" s="74"/>
      <c r="E69" s="74"/>
      <c r="F69" s="74"/>
      <c r="G69" s="74"/>
      <c r="H69" s="74"/>
      <c r="I69" s="74"/>
      <c r="J69" s="74"/>
      <c r="K69" s="74"/>
      <c r="L69" s="74"/>
      <c r="M69" s="74"/>
      <c r="N69" s="74"/>
      <c r="P69" s="209"/>
      <c r="Q69" s="74"/>
      <c r="R69" s="74"/>
      <c r="S69" s="74"/>
      <c r="T69" s="74"/>
      <c r="U69" s="74"/>
      <c r="V69" s="74"/>
      <c r="W69" s="74"/>
      <c r="X69" s="74"/>
      <c r="Y69" s="74"/>
      <c r="Z69" s="74"/>
      <c r="AA69" s="74"/>
      <c r="AC69" s="208"/>
      <c r="AD69" s="74"/>
      <c r="AE69" s="74"/>
      <c r="AF69" s="74"/>
      <c r="AG69" s="74"/>
      <c r="AH69" s="74"/>
      <c r="AI69" s="74"/>
      <c r="AJ69" s="74"/>
      <c r="AK69" s="74"/>
      <c r="AL69" s="74"/>
      <c r="AM69" s="74"/>
      <c r="AN69" s="74"/>
      <c r="AP69" s="12"/>
      <c r="AQ69" s="3"/>
      <c r="AR69" s="214"/>
      <c r="AS69" s="215"/>
      <c r="AT69" s="3"/>
      <c r="AU69" s="3"/>
      <c r="AV69" s="3" t="str">
        <f>IFERROR(__xludf.DUMMYFUNCTION("filter(unique(transpose(arrayformula(trim(split(textjoin("", "",true,proper('Race Info'!X7:X180)),"",""))))),not(regexmatch(lower(unique(transpose(arrayformula(trim(split(textjoin("", "",true,'Race Info'!X7:X180),"","")))))),""[0-9] extra"")))"),"Common")</f>
        <v>Common</v>
      </c>
      <c r="AW69" s="3" t="s">
        <v>94</v>
      </c>
      <c r="AX69" s="3" t="s">
        <v>95</v>
      </c>
      <c r="AY69" s="3" t="s">
        <v>96</v>
      </c>
      <c r="AZ69" s="2">
        <v>2.0</v>
      </c>
      <c r="BA69" s="3">
        <v>0.0</v>
      </c>
      <c r="BB69" s="3">
        <v>0.0</v>
      </c>
      <c r="BC69" s="26" t="str">
        <f t="array" ref="BC69:BC291">sort({AV70:AV180;AW69:AW180})</f>
        <v>Deep Speech</v>
      </c>
    </row>
    <row r="70" ht="15.75" customHeight="1">
      <c r="A70" s="12"/>
      <c r="C70" s="208"/>
      <c r="D70" s="74"/>
      <c r="E70" s="74"/>
      <c r="F70" s="74"/>
      <c r="G70" s="74"/>
      <c r="H70" s="74"/>
      <c r="I70" s="74"/>
      <c r="J70" s="74"/>
      <c r="K70" s="74"/>
      <c r="L70" s="74"/>
      <c r="M70" s="74"/>
      <c r="N70" s="74"/>
      <c r="P70" s="209"/>
      <c r="Q70" s="74"/>
      <c r="R70" s="74"/>
      <c r="S70" s="74"/>
      <c r="T70" s="74"/>
      <c r="U70" s="74"/>
      <c r="V70" s="74"/>
      <c r="W70" s="74"/>
      <c r="X70" s="74"/>
      <c r="Y70" s="74"/>
      <c r="Z70" s="74"/>
      <c r="AA70" s="74"/>
      <c r="AC70" s="208"/>
      <c r="AD70" s="74"/>
      <c r="AE70" s="74"/>
      <c r="AF70" s="74"/>
      <c r="AG70" s="74"/>
      <c r="AH70" s="74"/>
      <c r="AI70" s="74"/>
      <c r="AJ70" s="74"/>
      <c r="AK70" s="74"/>
      <c r="AL70" s="74"/>
      <c r="AM70" s="74"/>
      <c r="AN70" s="74"/>
      <c r="AP70" s="12"/>
      <c r="AQ70" s="3"/>
      <c r="AR70" s="214"/>
      <c r="AS70" s="215"/>
      <c r="AT70" s="214"/>
      <c r="AU70" s="3"/>
      <c r="AV70" s="3" t="str">
        <f>IFERROR(__xludf.DUMMYFUNCTION("""COMPUTED_VALUE"""),"Dwarvish")</f>
        <v>Dwarvish</v>
      </c>
      <c r="AW70" s="3" t="s">
        <v>97</v>
      </c>
      <c r="AX70" s="3" t="s">
        <v>98</v>
      </c>
      <c r="AY70" s="216" t="s">
        <v>99</v>
      </c>
      <c r="AZ70" s="2">
        <v>0.0</v>
      </c>
      <c r="BA70" s="3">
        <v>2.0</v>
      </c>
      <c r="BB70" s="3">
        <v>0.0</v>
      </c>
      <c r="BC70" s="217" t="s">
        <v>100</v>
      </c>
    </row>
    <row r="71" ht="15.75" customHeight="1">
      <c r="A71" s="12"/>
      <c r="C71" s="218"/>
      <c r="D71" s="74"/>
      <c r="E71" s="74"/>
      <c r="F71" s="74"/>
      <c r="G71" s="74"/>
      <c r="H71" s="74"/>
      <c r="I71" s="74"/>
      <c r="J71" s="74"/>
      <c r="K71" s="74"/>
      <c r="L71" s="74"/>
      <c r="M71" s="74"/>
      <c r="N71" s="74"/>
      <c r="P71" s="209"/>
      <c r="Q71" s="74"/>
      <c r="R71" s="74"/>
      <c r="S71" s="74"/>
      <c r="T71" s="74"/>
      <c r="U71" s="74"/>
      <c r="V71" s="74"/>
      <c r="W71" s="74"/>
      <c r="X71" s="74"/>
      <c r="Y71" s="74"/>
      <c r="Z71" s="74"/>
      <c r="AA71" s="74"/>
      <c r="AC71" s="208"/>
      <c r="AD71" s="74"/>
      <c r="AE71" s="74"/>
      <c r="AF71" s="74"/>
      <c r="AG71" s="74"/>
      <c r="AH71" s="74"/>
      <c r="AI71" s="74"/>
      <c r="AJ71" s="74"/>
      <c r="AK71" s="74"/>
      <c r="AL71" s="74"/>
      <c r="AM71" s="74"/>
      <c r="AN71" s="74"/>
      <c r="AP71" s="12"/>
      <c r="AQ71" s="3"/>
      <c r="AR71" s="214"/>
      <c r="AS71" s="215"/>
      <c r="AT71" s="214"/>
      <c r="AU71" s="3"/>
      <c r="AV71" s="3" t="str">
        <f>IFERROR(__xludf.DUMMYFUNCTION("""COMPUTED_VALUE"""),"Elvish")</f>
        <v>Elvish</v>
      </c>
      <c r="AW71" s="216" t="s">
        <v>101</v>
      </c>
      <c r="AX71" s="3" t="s">
        <v>102</v>
      </c>
      <c r="AY71" s="3" t="s">
        <v>103</v>
      </c>
      <c r="AZ71" s="2">
        <v>0.0</v>
      </c>
      <c r="BA71" s="3">
        <v>2.0</v>
      </c>
      <c r="BB71" s="3">
        <v>0.0</v>
      </c>
      <c r="BC71" s="26" t="s">
        <v>97</v>
      </c>
    </row>
    <row r="72" ht="15.75" customHeight="1">
      <c r="A72" s="12"/>
      <c r="C72" s="218"/>
      <c r="D72" s="74"/>
      <c r="E72" s="74"/>
      <c r="F72" s="74"/>
      <c r="G72" s="74"/>
      <c r="H72" s="74"/>
      <c r="I72" s="74"/>
      <c r="J72" s="74"/>
      <c r="K72" s="74"/>
      <c r="L72" s="74"/>
      <c r="M72" s="74"/>
      <c r="N72" s="74"/>
      <c r="P72" s="209"/>
      <c r="Q72" s="74"/>
      <c r="R72" s="74"/>
      <c r="S72" s="74"/>
      <c r="T72" s="74"/>
      <c r="U72" s="74"/>
      <c r="V72" s="74"/>
      <c r="W72" s="74"/>
      <c r="X72" s="74"/>
      <c r="Y72" s="74"/>
      <c r="Z72" s="74"/>
      <c r="AA72" s="74"/>
      <c r="AC72" s="208"/>
      <c r="AD72" s="74"/>
      <c r="AE72" s="74"/>
      <c r="AF72" s="74"/>
      <c r="AG72" s="74"/>
      <c r="AH72" s="74"/>
      <c r="AI72" s="74"/>
      <c r="AJ72" s="74"/>
      <c r="AK72" s="74"/>
      <c r="AL72" s="74"/>
      <c r="AM72" s="74"/>
      <c r="AN72" s="74"/>
      <c r="AP72" s="12"/>
      <c r="AQ72" s="3"/>
      <c r="AR72" s="214"/>
      <c r="AS72" s="215"/>
      <c r="AT72" s="214"/>
      <c r="AU72" s="3"/>
      <c r="AV72" s="3" t="str">
        <f>IFERROR(__xludf.DUMMYFUNCTION("""COMPUTED_VALUE"""),"Halfling")</f>
        <v>Halfling</v>
      </c>
      <c r="AW72" s="3"/>
      <c r="AX72" s="3" t="s">
        <v>104</v>
      </c>
      <c r="AY72" s="3" t="s">
        <v>105</v>
      </c>
      <c r="AZ72" s="2">
        <v>0.0</v>
      </c>
      <c r="BA72" s="3">
        <v>2.0</v>
      </c>
      <c r="BB72" s="3">
        <v>0.0</v>
      </c>
      <c r="BC72" s="26" t="s">
        <v>106</v>
      </c>
    </row>
    <row r="73" ht="15.75" customHeight="1">
      <c r="A73" s="12"/>
      <c r="C73" s="219"/>
      <c r="D73" s="74"/>
      <c r="E73" s="74"/>
      <c r="F73" s="74"/>
      <c r="G73" s="74"/>
      <c r="H73" s="74"/>
      <c r="I73" s="74"/>
      <c r="J73" s="74"/>
      <c r="K73" s="74"/>
      <c r="L73" s="74"/>
      <c r="M73" s="74"/>
      <c r="N73" s="74"/>
      <c r="P73" s="209"/>
      <c r="Q73" s="74"/>
      <c r="R73" s="74"/>
      <c r="S73" s="74"/>
      <c r="T73" s="74"/>
      <c r="U73" s="74"/>
      <c r="V73" s="74"/>
      <c r="W73" s="74"/>
      <c r="X73" s="74"/>
      <c r="Y73" s="74"/>
      <c r="Z73" s="74"/>
      <c r="AA73" s="74"/>
      <c r="AC73" s="208"/>
      <c r="AD73" s="74"/>
      <c r="AE73" s="74"/>
      <c r="AF73" s="74"/>
      <c r="AG73" s="74"/>
      <c r="AH73" s="74"/>
      <c r="AI73" s="74"/>
      <c r="AJ73" s="74"/>
      <c r="AK73" s="74"/>
      <c r="AL73" s="74"/>
      <c r="AM73" s="74"/>
      <c r="AN73" s="74"/>
      <c r="AP73" s="12"/>
      <c r="AQ73" s="3"/>
      <c r="AR73" s="214"/>
      <c r="AS73" s="215"/>
      <c r="AT73" s="214"/>
      <c r="AU73" s="3"/>
      <c r="AV73" s="3" t="str">
        <f>IFERROR(__xludf.DUMMYFUNCTION("""COMPUTED_VALUE"""),"Draconic")</f>
        <v>Draconic</v>
      </c>
      <c r="AW73" s="3"/>
      <c r="AX73" s="3" t="s">
        <v>107</v>
      </c>
      <c r="AY73" s="3" t="s">
        <v>108</v>
      </c>
      <c r="AZ73" s="2">
        <v>0.0</v>
      </c>
      <c r="BA73" s="216">
        <v>1.0</v>
      </c>
      <c r="BB73" s="216">
        <v>1.0</v>
      </c>
      <c r="BC73" s="26" t="s">
        <v>109</v>
      </c>
    </row>
    <row r="74" ht="15.75" customHeight="1">
      <c r="A74" s="12"/>
      <c r="C74" s="219"/>
      <c r="D74" s="74"/>
      <c r="E74" s="74"/>
      <c r="F74" s="74"/>
      <c r="G74" s="74"/>
      <c r="H74" s="74"/>
      <c r="I74" s="74"/>
      <c r="J74" s="74"/>
      <c r="K74" s="74"/>
      <c r="L74" s="74"/>
      <c r="M74" s="74"/>
      <c r="N74" s="74"/>
      <c r="P74" s="209"/>
      <c r="Q74" s="74"/>
      <c r="R74" s="74"/>
      <c r="S74" s="74"/>
      <c r="T74" s="74"/>
      <c r="U74" s="74"/>
      <c r="V74" s="74"/>
      <c r="W74" s="74"/>
      <c r="X74" s="74"/>
      <c r="Y74" s="74"/>
      <c r="Z74" s="74"/>
      <c r="AA74" s="74"/>
      <c r="AC74" s="208"/>
      <c r="AD74" s="74"/>
      <c r="AE74" s="74"/>
      <c r="AF74" s="74"/>
      <c r="AG74" s="74"/>
      <c r="AH74" s="74"/>
      <c r="AI74" s="74"/>
      <c r="AJ74" s="74"/>
      <c r="AK74" s="74"/>
      <c r="AL74" s="74"/>
      <c r="AM74" s="74"/>
      <c r="AN74" s="74"/>
      <c r="AP74" s="12"/>
      <c r="AQ74" s="3"/>
      <c r="AR74" s="214"/>
      <c r="AS74" s="215"/>
      <c r="AT74" s="214"/>
      <c r="AU74" s="3"/>
      <c r="AV74" s="3" t="str">
        <f>IFERROR(__xludf.DUMMYFUNCTION("""COMPUTED_VALUE"""),"Gnomish")</f>
        <v>Gnomish</v>
      </c>
      <c r="AW74" s="3"/>
      <c r="AX74" s="3" t="s">
        <v>110</v>
      </c>
      <c r="AY74" s="3" t="s">
        <v>111</v>
      </c>
      <c r="AZ74" s="3">
        <v>1.0</v>
      </c>
      <c r="BA74" s="3">
        <v>1.0</v>
      </c>
      <c r="BB74" s="3">
        <v>0.0</v>
      </c>
      <c r="BC74" s="26" t="s">
        <v>112</v>
      </c>
    </row>
    <row r="75" ht="15.75" customHeight="1">
      <c r="A75" s="12"/>
      <c r="C75" s="219"/>
      <c r="D75" s="74"/>
      <c r="E75" s="74"/>
      <c r="F75" s="74"/>
      <c r="G75" s="74"/>
      <c r="H75" s="74"/>
      <c r="I75" s="74"/>
      <c r="J75" s="74"/>
      <c r="K75" s="74"/>
      <c r="L75" s="74"/>
      <c r="M75" s="74"/>
      <c r="N75" s="74"/>
      <c r="P75" s="209"/>
      <c r="Q75" s="74"/>
      <c r="R75" s="74"/>
      <c r="S75" s="74"/>
      <c r="T75" s="74"/>
      <c r="U75" s="74"/>
      <c r="V75" s="74"/>
      <c r="W75" s="74"/>
      <c r="X75" s="74"/>
      <c r="Y75" s="74"/>
      <c r="Z75" s="74"/>
      <c r="AA75" s="74"/>
      <c r="AC75" s="208"/>
      <c r="AD75" s="74"/>
      <c r="AE75" s="74"/>
      <c r="AF75" s="74"/>
      <c r="AG75" s="74"/>
      <c r="AH75" s="74"/>
      <c r="AI75" s="74"/>
      <c r="AJ75" s="74"/>
      <c r="AK75" s="74"/>
      <c r="AL75" s="74"/>
      <c r="AM75" s="74"/>
      <c r="AN75" s="74"/>
      <c r="AP75" s="12"/>
      <c r="AQ75" s="3"/>
      <c r="AR75" s="214"/>
      <c r="AS75" s="215"/>
      <c r="AT75" s="214"/>
      <c r="AU75" s="3"/>
      <c r="AV75" s="3" t="str">
        <f>IFERROR(__xludf.DUMMYFUNCTION("""COMPUTED_VALUE"""),"Orc")</f>
        <v>Orc</v>
      </c>
      <c r="AW75" s="3"/>
      <c r="AX75" s="2" t="s">
        <v>113</v>
      </c>
      <c r="AY75" s="2" t="s">
        <v>114</v>
      </c>
      <c r="AZ75" s="2">
        <v>1.0</v>
      </c>
      <c r="BA75" s="3">
        <v>1.0</v>
      </c>
      <c r="BB75" s="3">
        <v>0.0</v>
      </c>
      <c r="BC75" s="26" t="s">
        <v>115</v>
      </c>
    </row>
    <row r="76" ht="15.75" customHeight="1">
      <c r="A76" s="12"/>
      <c r="C76" s="219"/>
      <c r="D76" s="74"/>
      <c r="E76" s="74"/>
      <c r="F76" s="74"/>
      <c r="G76" s="74"/>
      <c r="H76" s="74"/>
      <c r="I76" s="74"/>
      <c r="J76" s="74"/>
      <c r="K76" s="74"/>
      <c r="L76" s="74"/>
      <c r="M76" s="74"/>
      <c r="N76" s="74"/>
      <c r="P76" s="209"/>
      <c r="Q76" s="74"/>
      <c r="R76" s="74"/>
      <c r="S76" s="74"/>
      <c r="T76" s="74"/>
      <c r="U76" s="74"/>
      <c r="V76" s="74"/>
      <c r="W76" s="74"/>
      <c r="X76" s="74"/>
      <c r="Y76" s="74"/>
      <c r="Z76" s="74"/>
      <c r="AA76" s="74"/>
      <c r="AC76" s="208"/>
      <c r="AD76" s="74"/>
      <c r="AE76" s="74"/>
      <c r="AF76" s="74"/>
      <c r="AG76" s="74"/>
      <c r="AH76" s="74"/>
      <c r="AI76" s="74"/>
      <c r="AJ76" s="74"/>
      <c r="AK76" s="74"/>
      <c r="AL76" s="74"/>
      <c r="AM76" s="74"/>
      <c r="AN76" s="74"/>
      <c r="AP76" s="12"/>
      <c r="AQ76" s="3"/>
      <c r="AR76" s="214"/>
      <c r="AS76" s="215"/>
      <c r="AT76" s="214"/>
      <c r="AU76" s="3"/>
      <c r="AV76" s="3" t="str">
        <f>IFERROR(__xludf.DUMMYFUNCTION("""COMPUTED_VALUE"""),"Infernal")</f>
        <v>Infernal</v>
      </c>
      <c r="AW76" s="3"/>
      <c r="AX76" s="2" t="s">
        <v>116</v>
      </c>
      <c r="AY76" s="2" t="s">
        <v>117</v>
      </c>
      <c r="AZ76" s="3">
        <v>1.0</v>
      </c>
      <c r="BA76" s="3">
        <v>1.0</v>
      </c>
      <c r="BB76" s="3">
        <v>0.0</v>
      </c>
      <c r="BC76" s="26" t="s">
        <v>118</v>
      </c>
    </row>
    <row r="77" ht="15.75" customHeight="1">
      <c r="A77" s="12"/>
      <c r="C77" s="219"/>
      <c r="D77" s="74"/>
      <c r="E77" s="74"/>
      <c r="F77" s="74"/>
      <c r="G77" s="74"/>
      <c r="H77" s="74"/>
      <c r="I77" s="74"/>
      <c r="J77" s="74"/>
      <c r="K77" s="74"/>
      <c r="L77" s="74"/>
      <c r="M77" s="74"/>
      <c r="N77" s="74"/>
      <c r="P77" s="209"/>
      <c r="Q77" s="74"/>
      <c r="R77" s="74"/>
      <c r="S77" s="74"/>
      <c r="T77" s="74"/>
      <c r="U77" s="74"/>
      <c r="V77" s="74"/>
      <c r="W77" s="74"/>
      <c r="X77" s="74"/>
      <c r="Y77" s="74"/>
      <c r="Z77" s="74"/>
      <c r="AA77" s="74"/>
      <c r="AC77" s="208"/>
      <c r="AD77" s="74"/>
      <c r="AE77" s="74"/>
      <c r="AF77" s="74"/>
      <c r="AG77" s="74"/>
      <c r="AH77" s="74"/>
      <c r="AI77" s="74"/>
      <c r="AJ77" s="74"/>
      <c r="AK77" s="74"/>
      <c r="AL77" s="74"/>
      <c r="AM77" s="74"/>
      <c r="AN77" s="74"/>
      <c r="AP77" s="12"/>
      <c r="AQ77" s="3"/>
      <c r="AR77" s="214"/>
      <c r="AS77" s="215"/>
      <c r="AT77" s="3"/>
      <c r="AU77" s="3"/>
      <c r="AV77" s="3"/>
      <c r="AW77" s="3"/>
      <c r="AX77" s="2" t="s">
        <v>119</v>
      </c>
      <c r="AY77" s="2" t="s">
        <v>120</v>
      </c>
      <c r="AZ77" s="2">
        <v>1.0</v>
      </c>
      <c r="BA77" s="3">
        <v>1.0</v>
      </c>
      <c r="BB77" s="3">
        <v>0.0</v>
      </c>
      <c r="BC77" s="26" t="s">
        <v>121</v>
      </c>
    </row>
    <row r="78" ht="15.75" customHeight="1">
      <c r="A78" s="12"/>
      <c r="C78" s="219"/>
      <c r="D78" s="74"/>
      <c r="E78" s="74"/>
      <c r="F78" s="74"/>
      <c r="G78" s="74"/>
      <c r="H78" s="74"/>
      <c r="I78" s="74"/>
      <c r="J78" s="74"/>
      <c r="K78" s="74"/>
      <c r="L78" s="74"/>
      <c r="M78" s="74"/>
      <c r="N78" s="74"/>
      <c r="P78" s="209"/>
      <c r="Q78" s="74"/>
      <c r="R78" s="74"/>
      <c r="S78" s="74"/>
      <c r="T78" s="74"/>
      <c r="U78" s="74"/>
      <c r="V78" s="74"/>
      <c r="W78" s="74"/>
      <c r="X78" s="74"/>
      <c r="Y78" s="74"/>
      <c r="Z78" s="74"/>
      <c r="AA78" s="74"/>
      <c r="AC78" s="208"/>
      <c r="AD78" s="74"/>
      <c r="AE78" s="74"/>
      <c r="AF78" s="74"/>
      <c r="AG78" s="74"/>
      <c r="AH78" s="74"/>
      <c r="AI78" s="74"/>
      <c r="AJ78" s="74"/>
      <c r="AK78" s="74"/>
      <c r="AL78" s="74"/>
      <c r="AM78" s="74"/>
      <c r="AN78" s="74"/>
      <c r="AP78" s="12"/>
      <c r="AQ78" s="3"/>
      <c r="AR78" s="214"/>
      <c r="AS78" s="215"/>
      <c r="AT78" s="3"/>
      <c r="AU78" s="3"/>
      <c r="AV78" s="3"/>
      <c r="AW78" s="3"/>
      <c r="AX78" s="2" t="s">
        <v>122</v>
      </c>
      <c r="AY78" s="2" t="s">
        <v>123</v>
      </c>
      <c r="AZ78" s="2">
        <v>2.0</v>
      </c>
      <c r="BA78" s="3">
        <v>0.0</v>
      </c>
      <c r="BB78" s="3">
        <v>0.0</v>
      </c>
      <c r="BC78" s="26" t="s">
        <v>94</v>
      </c>
    </row>
    <row r="79" ht="15.75" customHeight="1">
      <c r="A79" s="12"/>
      <c r="C79" s="219"/>
      <c r="D79" s="74"/>
      <c r="E79" s="74"/>
      <c r="F79" s="74"/>
      <c r="G79" s="74"/>
      <c r="H79" s="74"/>
      <c r="I79" s="74"/>
      <c r="J79" s="74"/>
      <c r="K79" s="74"/>
      <c r="L79" s="74"/>
      <c r="M79" s="74"/>
      <c r="N79" s="74"/>
      <c r="P79" s="209"/>
      <c r="Q79" s="74"/>
      <c r="R79" s="74"/>
      <c r="S79" s="74"/>
      <c r="T79" s="74"/>
      <c r="U79" s="74"/>
      <c r="V79" s="74"/>
      <c r="W79" s="74"/>
      <c r="X79" s="74"/>
      <c r="Y79" s="74"/>
      <c r="Z79" s="74"/>
      <c r="AA79" s="74"/>
      <c r="AC79" s="208"/>
      <c r="AD79" s="74"/>
      <c r="AE79" s="74"/>
      <c r="AF79" s="74"/>
      <c r="AG79" s="74"/>
      <c r="AH79" s="74"/>
      <c r="AI79" s="74"/>
      <c r="AJ79" s="74"/>
      <c r="AK79" s="74"/>
      <c r="AL79" s="74"/>
      <c r="AM79" s="74"/>
      <c r="AN79" s="74"/>
      <c r="AP79" s="12"/>
      <c r="AQ79" s="3"/>
      <c r="AR79" s="214"/>
      <c r="AS79" s="215"/>
      <c r="AT79" s="3"/>
      <c r="AU79" s="3"/>
      <c r="AV79" s="3"/>
      <c r="AW79" s="3"/>
      <c r="AX79" s="2" t="s">
        <v>124</v>
      </c>
      <c r="AY79" s="2" t="s">
        <v>125</v>
      </c>
      <c r="AZ79" s="3">
        <v>0.0</v>
      </c>
      <c r="BA79" s="3">
        <v>1.0</v>
      </c>
      <c r="BB79" s="3">
        <v>1.0</v>
      </c>
      <c r="BC79" s="26"/>
    </row>
    <row r="80" ht="15.75" customHeight="1">
      <c r="A80" s="12"/>
      <c r="C80" s="219"/>
      <c r="D80" s="74"/>
      <c r="E80" s="74"/>
      <c r="F80" s="74"/>
      <c r="G80" s="74"/>
      <c r="H80" s="74"/>
      <c r="I80" s="74"/>
      <c r="J80" s="74"/>
      <c r="K80" s="74"/>
      <c r="L80" s="74"/>
      <c r="M80" s="74"/>
      <c r="N80" s="74"/>
      <c r="P80" s="209"/>
      <c r="Q80" s="74"/>
      <c r="R80" s="74"/>
      <c r="S80" s="74"/>
      <c r="T80" s="74"/>
      <c r="U80" s="74"/>
      <c r="V80" s="74"/>
      <c r="W80" s="74"/>
      <c r="X80" s="74"/>
      <c r="Y80" s="74"/>
      <c r="Z80" s="74"/>
      <c r="AA80" s="74"/>
      <c r="AC80" s="208"/>
      <c r="AD80" s="74"/>
      <c r="AE80" s="74"/>
      <c r="AF80" s="74"/>
      <c r="AG80" s="74"/>
      <c r="AH80" s="74"/>
      <c r="AI80" s="74"/>
      <c r="AJ80" s="74"/>
      <c r="AK80" s="74"/>
      <c r="AL80" s="74"/>
      <c r="AM80" s="74"/>
      <c r="AN80" s="74"/>
      <c r="AP80" s="12"/>
      <c r="AQ80" s="3"/>
      <c r="AR80" s="214"/>
      <c r="AS80" s="215"/>
      <c r="AT80" s="3"/>
      <c r="AU80" s="3"/>
      <c r="AV80" s="3"/>
      <c r="AW80" s="3"/>
      <c r="AX80" s="2" t="s">
        <v>126</v>
      </c>
      <c r="AY80" s="2" t="s">
        <v>127</v>
      </c>
      <c r="AZ80" s="2">
        <v>0.0</v>
      </c>
      <c r="BA80" s="3">
        <v>1.0</v>
      </c>
      <c r="BB80" s="3">
        <v>1.0</v>
      </c>
      <c r="BC80" s="26"/>
    </row>
    <row r="81" ht="15.75" customHeight="1">
      <c r="A81" s="12"/>
      <c r="C81" s="219"/>
      <c r="D81" s="74"/>
      <c r="E81" s="74"/>
      <c r="F81" s="74"/>
      <c r="G81" s="74"/>
      <c r="H81" s="74"/>
      <c r="I81" s="74"/>
      <c r="J81" s="74"/>
      <c r="K81" s="74"/>
      <c r="L81" s="74"/>
      <c r="M81" s="74"/>
      <c r="N81" s="74"/>
      <c r="P81" s="209"/>
      <c r="Q81" s="74"/>
      <c r="R81" s="74"/>
      <c r="S81" s="74"/>
      <c r="T81" s="74"/>
      <c r="U81" s="74"/>
      <c r="V81" s="74"/>
      <c r="W81" s="74"/>
      <c r="X81" s="74"/>
      <c r="Y81" s="74"/>
      <c r="Z81" s="74"/>
      <c r="AA81" s="74"/>
      <c r="AC81" s="208"/>
      <c r="AD81" s="74"/>
      <c r="AE81" s="74"/>
      <c r="AF81" s="74"/>
      <c r="AG81" s="74"/>
      <c r="AH81" s="74"/>
      <c r="AI81" s="74"/>
      <c r="AJ81" s="74"/>
      <c r="AK81" s="74"/>
      <c r="AL81" s="74"/>
      <c r="AM81" s="74"/>
      <c r="AN81" s="74"/>
      <c r="AP81" s="12"/>
      <c r="AQ81" s="3"/>
      <c r="AR81" s="214"/>
      <c r="AS81" s="215"/>
      <c r="AT81" s="3"/>
      <c r="AU81" s="3"/>
      <c r="AV81" s="3"/>
      <c r="AW81" s="3"/>
      <c r="AX81" s="2" t="s">
        <v>128</v>
      </c>
      <c r="AY81" s="2" t="s">
        <v>129</v>
      </c>
      <c r="AZ81" s="2">
        <v>0.0</v>
      </c>
      <c r="BA81" s="3">
        <v>2.0</v>
      </c>
      <c r="BB81" s="3">
        <v>0.0</v>
      </c>
      <c r="BC81" s="26"/>
    </row>
    <row r="82" ht="15.75" customHeight="1">
      <c r="A82" s="12"/>
      <c r="C82" s="219"/>
      <c r="D82" s="74"/>
      <c r="E82" s="74"/>
      <c r="F82" s="74"/>
      <c r="G82" s="74"/>
      <c r="H82" s="74"/>
      <c r="I82" s="74"/>
      <c r="J82" s="74"/>
      <c r="K82" s="74"/>
      <c r="L82" s="74"/>
      <c r="M82" s="74"/>
      <c r="N82" s="74"/>
      <c r="P82" s="209"/>
      <c r="Q82" s="74"/>
      <c r="R82" s="74"/>
      <c r="S82" s="74"/>
      <c r="T82" s="74"/>
      <c r="U82" s="74"/>
      <c r="V82" s="74"/>
      <c r="W82" s="74"/>
      <c r="X82" s="74"/>
      <c r="Y82" s="74"/>
      <c r="Z82" s="74"/>
      <c r="AA82" s="74"/>
      <c r="AC82" s="208"/>
      <c r="AD82" s="74"/>
      <c r="AE82" s="74"/>
      <c r="AF82" s="74"/>
      <c r="AG82" s="74"/>
      <c r="AH82" s="74"/>
      <c r="AI82" s="74"/>
      <c r="AJ82" s="74"/>
      <c r="AK82" s="74"/>
      <c r="AL82" s="74"/>
      <c r="AM82" s="74"/>
      <c r="AN82" s="74"/>
      <c r="AP82" s="12"/>
      <c r="AQ82" s="3"/>
      <c r="AR82" s="214"/>
      <c r="AS82" s="215"/>
      <c r="AT82" s="3"/>
      <c r="AU82" s="3"/>
      <c r="AV82" s="3"/>
      <c r="AW82" s="3"/>
      <c r="AX82" s="3"/>
      <c r="AY82" s="7"/>
      <c r="AZ82" s="2"/>
      <c r="BA82" s="2"/>
      <c r="BB82" s="2"/>
      <c r="BC82" s="2"/>
    </row>
    <row r="83" ht="15.75" customHeight="1">
      <c r="A83" s="12"/>
      <c r="C83" s="219"/>
      <c r="D83" s="74"/>
      <c r="E83" s="74"/>
      <c r="F83" s="74"/>
      <c r="G83" s="74"/>
      <c r="H83" s="74"/>
      <c r="I83" s="74"/>
      <c r="J83" s="74"/>
      <c r="K83" s="74"/>
      <c r="L83" s="74"/>
      <c r="M83" s="74"/>
      <c r="N83" s="74"/>
      <c r="P83" s="209"/>
      <c r="Q83" s="74"/>
      <c r="R83" s="74"/>
      <c r="S83" s="74"/>
      <c r="T83" s="74"/>
      <c r="U83" s="74"/>
      <c r="V83" s="74"/>
      <c r="W83" s="74"/>
      <c r="X83" s="74"/>
      <c r="Y83" s="74"/>
      <c r="Z83" s="74"/>
      <c r="AA83" s="74"/>
      <c r="AC83" s="208"/>
      <c r="AD83" s="74"/>
      <c r="AE83" s="74"/>
      <c r="AF83" s="74"/>
      <c r="AG83" s="74"/>
      <c r="AH83" s="74"/>
      <c r="AI83" s="74"/>
      <c r="AJ83" s="74"/>
      <c r="AK83" s="74"/>
      <c r="AL83" s="74"/>
      <c r="AM83" s="74"/>
      <c r="AN83" s="74"/>
      <c r="AP83" s="12"/>
      <c r="AQ83" s="3"/>
      <c r="AR83" s="214"/>
      <c r="AS83" s="215"/>
      <c r="AT83" s="3"/>
      <c r="AU83" s="3"/>
      <c r="AV83" s="220"/>
      <c r="AW83" s="3"/>
      <c r="AX83" s="3"/>
      <c r="AY83" s="7"/>
      <c r="AZ83" s="2"/>
      <c r="BA83" s="2"/>
      <c r="BB83" s="2"/>
      <c r="BC83" s="2"/>
    </row>
    <row r="84" ht="15.75" customHeight="1">
      <c r="A84" s="12"/>
      <c r="C84" s="219"/>
      <c r="D84" s="74"/>
      <c r="E84" s="74"/>
      <c r="F84" s="74"/>
      <c r="G84" s="74"/>
      <c r="H84" s="74"/>
      <c r="I84" s="74"/>
      <c r="J84" s="74"/>
      <c r="K84" s="74"/>
      <c r="L84" s="74"/>
      <c r="M84" s="74"/>
      <c r="N84" s="74"/>
      <c r="P84" s="209"/>
      <c r="Q84" s="74"/>
      <c r="R84" s="74"/>
      <c r="S84" s="74"/>
      <c r="T84" s="74"/>
      <c r="U84" s="74"/>
      <c r="V84" s="74"/>
      <c r="W84" s="74"/>
      <c r="X84" s="74"/>
      <c r="Y84" s="74"/>
      <c r="Z84" s="74"/>
      <c r="AA84" s="74"/>
      <c r="AC84" s="208"/>
      <c r="AD84" s="74"/>
      <c r="AE84" s="74"/>
      <c r="AF84" s="74"/>
      <c r="AG84" s="74"/>
      <c r="AH84" s="74"/>
      <c r="AI84" s="74"/>
      <c r="AJ84" s="74"/>
      <c r="AK84" s="74"/>
      <c r="AL84" s="74"/>
      <c r="AM84" s="74"/>
      <c r="AN84" s="74"/>
      <c r="AP84" s="12"/>
      <c r="AQ84" s="3"/>
      <c r="AR84" s="214"/>
      <c r="AS84" s="3"/>
      <c r="AT84" s="3"/>
      <c r="AU84" s="3"/>
      <c r="AV84" s="3"/>
      <c r="AW84" s="3"/>
      <c r="AX84" s="3"/>
      <c r="AY84" s="7"/>
      <c r="AZ84" s="2"/>
      <c r="BA84" s="2"/>
      <c r="BB84" s="2"/>
      <c r="BC84" s="2"/>
    </row>
    <row r="85" ht="15.75" customHeight="1">
      <c r="A85" s="12"/>
      <c r="C85" s="221"/>
      <c r="D85" s="221"/>
      <c r="E85" s="221"/>
      <c r="F85" s="221"/>
      <c r="G85" s="221"/>
      <c r="H85" s="221"/>
      <c r="I85" s="221"/>
      <c r="J85" s="221"/>
      <c r="K85" s="221"/>
      <c r="L85" s="221"/>
      <c r="M85" s="221"/>
      <c r="N85" s="221"/>
      <c r="O85" s="31"/>
      <c r="P85" s="222" t="s">
        <v>130</v>
      </c>
      <c r="Q85" s="31"/>
      <c r="R85" s="31"/>
      <c r="S85" s="31"/>
      <c r="T85" s="31"/>
      <c r="U85" s="31"/>
      <c r="V85" s="31"/>
      <c r="W85" s="31"/>
      <c r="X85" s="31"/>
      <c r="Y85" s="31"/>
      <c r="Z85" s="31"/>
      <c r="AA85" s="31"/>
      <c r="AB85" s="31"/>
      <c r="AC85" s="221"/>
      <c r="AD85" s="221"/>
      <c r="AE85" s="221"/>
      <c r="AF85" s="221"/>
      <c r="AG85" s="221"/>
      <c r="AH85" s="221"/>
      <c r="AI85" s="221"/>
      <c r="AJ85" s="221"/>
      <c r="AK85" s="221"/>
      <c r="AL85" s="221"/>
      <c r="AM85" s="221"/>
      <c r="AN85" s="221"/>
      <c r="AP85" s="12"/>
      <c r="AQ85" s="3"/>
      <c r="AR85" s="3"/>
      <c r="AS85" s="3"/>
      <c r="AT85" s="3"/>
      <c r="AU85" s="3"/>
      <c r="AV85" s="3"/>
      <c r="AW85" s="3"/>
      <c r="AX85" s="3"/>
      <c r="AY85" s="7"/>
      <c r="AZ85" s="2"/>
      <c r="BA85" s="2"/>
      <c r="BB85" s="2"/>
      <c r="BC85" s="223"/>
    </row>
    <row r="86" ht="15.75" customHeight="1">
      <c r="A86" s="12"/>
      <c r="C86" s="224" t="s">
        <v>131</v>
      </c>
      <c r="AP86" s="12"/>
      <c r="AQ86" s="3"/>
      <c r="AR86" s="3"/>
      <c r="AS86" s="3"/>
      <c r="AT86" s="3"/>
      <c r="AU86" s="3"/>
      <c r="AV86" s="3"/>
      <c r="AW86" s="3"/>
      <c r="AX86" s="3"/>
      <c r="AY86" s="3"/>
      <c r="AZ86" s="3"/>
      <c r="BA86" s="3"/>
      <c r="BB86" s="3"/>
      <c r="BC86" s="3"/>
    </row>
    <row r="87" ht="15.75" customHeight="1">
      <c r="A87" s="4" t="str">
        <f>if(and(C91&lt;&gt;"",countif(AQ155:AQ180,C91)),image(vlookup(C91,AQ155:AS180,2,false),2),image("http://i.imgur.com/Pnzh0Lq.png",2))</f>
        <v/>
      </c>
      <c r="S87" s="12"/>
      <c r="T87" s="5"/>
      <c r="U87" s="5"/>
      <c r="V87" s="5"/>
      <c r="W87" s="5"/>
      <c r="X87" s="5"/>
      <c r="Y87" s="5"/>
      <c r="Z87" s="5"/>
      <c r="AA87" s="5"/>
      <c r="AB87" s="5"/>
      <c r="AC87" s="5"/>
      <c r="AD87" s="5" t="str">
        <f>if(and(C91="",U91="",AB91="",AI91=""),"This section doesn't handle multiclassing perfectly. If you have multiple spellcasting classes,",if(and(C91&lt;&gt;"",U91=""),"You need to enter a single valid spellcasting class!",""))</f>
        <v/>
      </c>
      <c r="AE87" s="5"/>
      <c r="AF87" s="5"/>
      <c r="AG87" s="5"/>
      <c r="AH87" s="5"/>
      <c r="AI87" s="5"/>
      <c r="AJ87" s="5"/>
      <c r="AK87" s="5"/>
      <c r="AL87" s="5"/>
      <c r="AM87" s="5"/>
      <c r="AN87" s="5"/>
      <c r="AO87" s="5"/>
      <c r="AP87" s="5"/>
      <c r="AQ87" s="3"/>
      <c r="AR87" s="3"/>
      <c r="AS87" s="3"/>
      <c r="AT87" s="3"/>
      <c r="AU87" s="3"/>
      <c r="AV87" s="3"/>
      <c r="AW87" s="3"/>
      <c r="AX87" s="3"/>
      <c r="AY87" s="7"/>
      <c r="AZ87" s="2"/>
      <c r="BA87" s="2"/>
      <c r="BB87" s="2"/>
      <c r="BC87" s="2"/>
    </row>
    <row r="88" ht="15.75" customHeight="1">
      <c r="S88" s="12" t="str">
        <f>IMAGE("http://i.imgur.com/2jwsXWa.png",2)</f>
        <v/>
      </c>
      <c r="T88" s="5"/>
      <c r="U88" s="5"/>
      <c r="V88" s="5"/>
      <c r="W88" s="5"/>
      <c r="X88" s="5"/>
      <c r="Y88" s="5"/>
      <c r="Z88" s="5"/>
      <c r="AA88" s="5"/>
      <c r="AB88" s="5"/>
      <c r="AC88" s="5"/>
      <c r="AD88" s="5" t="str">
        <f>if(and(C91="",U91="",AB91="",AI91=""),"it can only track one of them. Ignore this section if you have no spells.",if(and(C91&lt;&gt;"",U91=""),"And it must be a class you possess levels in or have the Magic Initiate feat in features.",""))</f>
        <v/>
      </c>
      <c r="AE88" s="5"/>
      <c r="AF88" s="5"/>
      <c r="AG88" s="5"/>
      <c r="AH88" s="5"/>
      <c r="AI88" s="5"/>
      <c r="AJ88" s="5"/>
      <c r="AK88" s="5"/>
      <c r="AL88" s="5"/>
      <c r="AM88" s="5"/>
      <c r="AN88" s="5"/>
      <c r="AO88" s="5"/>
      <c r="AP88" s="5"/>
      <c r="AQ88" s="3"/>
      <c r="AR88" s="3"/>
      <c r="AS88" s="3"/>
      <c r="AT88" s="3"/>
      <c r="AU88" s="3"/>
      <c r="AV88" s="3"/>
      <c r="AW88" s="3"/>
      <c r="AX88" s="3"/>
      <c r="AY88" s="3"/>
      <c r="AZ88" s="3"/>
      <c r="BA88" s="3"/>
      <c r="BB88" s="3"/>
      <c r="BC88" s="3"/>
    </row>
    <row r="89" ht="15.75" customHeight="1">
      <c r="S89" s="225" t="str">
        <f>IMAGE("http://i.imgur.com/1aZcJXU.png",2)</f>
        <v/>
      </c>
      <c r="T89" s="226"/>
      <c r="U89" s="226"/>
      <c r="V89" s="226"/>
      <c r="W89" s="226"/>
      <c r="X89" s="226"/>
      <c r="Y89" s="226"/>
      <c r="Z89" s="226"/>
      <c r="AA89" s="226"/>
      <c r="AB89" s="226"/>
      <c r="AC89" s="226"/>
      <c r="AD89" s="226"/>
      <c r="AE89" s="226"/>
      <c r="AF89" s="226"/>
      <c r="AG89" s="226"/>
      <c r="AH89" s="226"/>
      <c r="AI89" s="226"/>
      <c r="AJ89" s="226"/>
      <c r="AK89" s="226"/>
      <c r="AL89" s="226"/>
      <c r="AM89" s="226"/>
      <c r="AN89" s="227"/>
      <c r="AO89" s="12" t="str">
        <f>IMAGE("http://i.imgur.com/nWCUyCa.png",2)</f>
        <v/>
      </c>
      <c r="AP89" s="12"/>
      <c r="AQ89" s="3"/>
      <c r="AR89" s="3"/>
      <c r="AS89" s="3"/>
      <c r="AT89" s="3"/>
      <c r="AU89" s="3"/>
      <c r="AV89" s="3"/>
      <c r="AW89" s="3"/>
      <c r="AX89" s="3"/>
      <c r="AY89" s="7"/>
      <c r="AZ89" s="2"/>
      <c r="BA89" s="2"/>
      <c r="BB89" s="2"/>
      <c r="BC89" s="2"/>
    </row>
    <row r="90" ht="15.75" customHeight="1">
      <c r="S90" s="228"/>
      <c r="T90" s="229" t="str">
        <f>IMAGE("http://i.imgur.com/bMB1ljY.png",2)</f>
        <v/>
      </c>
      <c r="U90" s="230" t="s">
        <v>132</v>
      </c>
      <c r="Y90" s="231" t="str">
        <f>IMAGE("http://i.imgur.com/vGypnz4.png",2)</f>
        <v/>
      </c>
      <c r="Z90" s="232"/>
      <c r="AA90" s="231" t="str">
        <f>IMAGE("http://i.imgur.com/bMB1ljY.png",2)</f>
        <v/>
      </c>
      <c r="AB90" s="230" t="s">
        <v>133</v>
      </c>
      <c r="AF90" s="231" t="str">
        <f>IMAGE("http://i.imgur.com/vGypnz4.png",2)</f>
        <v/>
      </c>
      <c r="AG90" s="232"/>
      <c r="AH90" s="231" t="str">
        <f>IMAGE("http://i.imgur.com/bMB1ljY.png",2)</f>
        <v/>
      </c>
      <c r="AI90" s="230" t="s">
        <v>133</v>
      </c>
      <c r="AM90" s="231" t="str">
        <f>IMAGE("http://i.imgur.com/vGypnz4.png",2)</f>
        <v/>
      </c>
      <c r="AN90" s="233"/>
      <c r="AP90" s="12"/>
      <c r="AQ90" s="3"/>
      <c r="AR90" s="7"/>
      <c r="AS90" s="3"/>
      <c r="AT90" s="3"/>
      <c r="AU90" s="3"/>
      <c r="AV90" s="3"/>
      <c r="AW90" s="3"/>
      <c r="AX90" s="3"/>
      <c r="AY90" s="7"/>
      <c r="AZ90" s="2"/>
      <c r="BA90" s="2"/>
      <c r="BB90" s="2"/>
      <c r="BC90" s="2"/>
    </row>
    <row r="91" ht="15.75" customHeight="1">
      <c r="B91" s="20"/>
      <c r="C91" s="234"/>
      <c r="R91" s="11"/>
      <c r="S91" s="27"/>
      <c r="U91" s="235" t="str">
        <f>if(and(castingClass&lt;&gt;"",classAndLevel&lt;&gt;"",AQ91&lt;&gt;""),iferror(vlookup(castingClass,v2.1!AR6:AY15,8,false),vlookup(castingClass,'Class Info'!B7:AJ180,35,false)),"-")</f>
        <v>-</v>
      </c>
      <c r="V91" s="25"/>
      <c r="W91" s="25"/>
      <c r="X91" s="25"/>
      <c r="AB91" s="236" t="str">
        <f>IFERROR(__xludf.DUMMYFUNCTION("if(castingAbility&lt;&gt;""-"",if(indirect(lower(left(castingAbility,3))&amp;""Mod"")&lt;&gt;""-"",
 8+proficiencyBonus+indirect(lower(left(castingAbility,3))&amp;""Mod"")
+sum(arrayformula(int(iferror(trim(left(regexextract(lower(filter({BA$32:BA$56;Additional!$BA$3:$BA$24}"&amp;",regexmatch(lower({BA$32:BA$56;Additional!$BA$3:$BA$24}),""[0-9]+ bonus [a-z ]{2,} saving throw dc""))),""[0-9]+ bonus ""),2)),0))))
+sum(arrayformula(int(iferror(trim(right(regexextract(lower(filter({BA$32:BA$56;Additional!$BA$3:$BA$24},regexmatch(lower("&amp;"{BA$32:BA$56;Additional!$BA$3:$BA$24}),""spell save dc[a-z ]+increase[a-z ]+[0-9]+""))),""increase[a-z ]+[0-9]+""),2)),0)))),""-""),""-"")"),"-")</f>
        <v>-</v>
      </c>
      <c r="AC91" s="25"/>
      <c r="AD91" s="25"/>
      <c r="AE91" s="25"/>
      <c r="AI91" s="237" t="str">
        <f t="array" ref="AI91">if(castingAbility&lt;&gt;"-",if(indirect(lower(left(castingAbility,3))&amp;"Mod")&lt;&gt;"-",
proficiencyBonus+indirect(lower(left(castingAbility,3))&amp;"Mod")
+$AR$91,"-"),"-")</f>
        <v>-</v>
      </c>
      <c r="AJ91" s="25"/>
      <c r="AK91" s="25"/>
      <c r="AL91" s="25"/>
      <c r="AN91" s="11"/>
      <c r="AP91" s="12"/>
      <c r="AQ91" s="2" t="str">
        <f>IFERROR(__xludf.DUMMYFUNCTION("iferror(transpose(split(textjoin(""~"",True,iferror(filter(AR6:AR15,AX6:AX15&lt;&gt;""""),""""),if(isnumber(find(""magic initiate"",feats)),unique(iferror(filter('Class Info'!B7:B180,'Class Info'!B7:B180&lt;&gt;"""",isnumber(find(lower('Class Info'!B7:B180),regexextr"&amp;"act(feats,""initiate..[a-z]+."")))),"""")),"""")),""~"")),"""")"),"")</f>
        <v/>
      </c>
      <c r="AR91" s="7">
        <f>IFERROR(__xludf.DUMMYFUNCTION("sum(arrayformula(int(iferror(trim(left(regexextract(lower(filter({BA$32:BA$56;Additional!$BA$3:$BA$24},regexmatch(lower({BA$32:BA$56;Additional!$BA$3:$BA$24}),""[0-9]+ bonus to spell attack rolls""))),""[0-9]+ bonus to spell attack""),2)),0))))
+sum(array"&amp;"formula(int(iferror(trim(right(regexextract(lower(filter({BA$32:BA$56;Additional!$BA$3:$BA$24},regexmatch(lower({BA$32:BA$56;Additional!$BA$3:$BA$24}),""spell attack bonus[a-z ]+increase[a-z ]+[0-9]+""))),""increase[a-z ]+[0-9]+""),2)),0))))"),0.0)</f>
        <v>0</v>
      </c>
      <c r="AS91" s="3"/>
      <c r="AT91" s="7"/>
      <c r="AU91" s="3"/>
      <c r="AV91" s="3"/>
      <c r="AW91" s="3"/>
      <c r="AX91" s="3"/>
      <c r="AY91" s="7"/>
      <c r="AZ91" s="2"/>
      <c r="BA91" s="2"/>
      <c r="BB91" s="2"/>
      <c r="BC91" s="26"/>
    </row>
    <row r="92" ht="15.75" customHeight="1">
      <c r="B92" s="27"/>
      <c r="C92" s="27"/>
      <c r="R92" s="11"/>
      <c r="S92" s="27"/>
      <c r="U92" s="31"/>
      <c r="V92" s="31"/>
      <c r="W92" s="31"/>
      <c r="X92" s="31"/>
      <c r="AB92" s="31"/>
      <c r="AC92" s="31"/>
      <c r="AD92" s="31"/>
      <c r="AE92" s="31"/>
      <c r="AI92" s="31"/>
      <c r="AJ92" s="31"/>
      <c r="AK92" s="31"/>
      <c r="AL92" s="31"/>
      <c r="AN92" s="11"/>
      <c r="AP92" s="12"/>
      <c r="AQ92" s="3"/>
      <c r="AR92" s="7"/>
      <c r="AS92" s="3"/>
      <c r="AT92" s="7"/>
      <c r="AU92" s="3"/>
      <c r="AV92" s="3"/>
      <c r="AW92" s="3"/>
      <c r="AX92" s="3"/>
      <c r="AY92" s="7"/>
      <c r="AZ92" s="2"/>
      <c r="BA92" s="2"/>
      <c r="BB92" s="2"/>
      <c r="BC92" s="2"/>
    </row>
    <row r="93" ht="15.75" customHeight="1">
      <c r="A93" s="4" t="str">
        <f>IMAGE("http://i.imgur.com/EmUh8kY.png",2)</f>
        <v/>
      </c>
      <c r="S93" s="27"/>
      <c r="T93" s="42"/>
      <c r="U93" s="238" t="s">
        <v>134</v>
      </c>
      <c r="Y93" s="226"/>
      <c r="AA93" s="226"/>
      <c r="AB93" s="238" t="s">
        <v>135</v>
      </c>
      <c r="AF93" s="226"/>
      <c r="AH93" s="226"/>
      <c r="AI93" s="238" t="s">
        <v>136</v>
      </c>
      <c r="AM93" s="226"/>
      <c r="AN93" s="11"/>
      <c r="AP93" s="12"/>
      <c r="AQ93" s="3"/>
      <c r="AR93" s="7"/>
      <c r="AS93" s="3"/>
      <c r="AT93" s="7"/>
      <c r="AU93" s="3"/>
      <c r="AV93" s="3"/>
      <c r="AW93" s="3"/>
      <c r="AX93" s="3"/>
      <c r="AY93" s="7"/>
      <c r="AZ93" s="2"/>
      <c r="BA93" s="2"/>
      <c r="BB93" s="2"/>
      <c r="BC93" s="2"/>
    </row>
    <row r="94" ht="15.75" customHeight="1">
      <c r="S94" s="10" t="str">
        <f>IMAGE("http://i.imgur.com/M5KNO4X.png",2)</f>
        <v/>
      </c>
      <c r="AN94" s="11"/>
      <c r="AO94" s="12"/>
      <c r="AP94" s="12"/>
      <c r="AQ94" s="3"/>
      <c r="AR94" s="7"/>
      <c r="AS94" s="3"/>
      <c r="AT94" s="3"/>
      <c r="AU94" s="3"/>
      <c r="AV94" s="3"/>
      <c r="AW94" s="3"/>
      <c r="AX94" s="3"/>
      <c r="AY94" s="7"/>
      <c r="AZ94" s="2"/>
      <c r="BA94" s="2"/>
      <c r="BB94" s="2"/>
      <c r="BC94" s="2"/>
    </row>
    <row r="95" ht="15.75" customHeight="1">
      <c r="A95" s="239"/>
      <c r="B95" s="240" t="str">
        <f>IMAGE("http://i.imgur.com/36yH7AT.png")</f>
        <v/>
      </c>
      <c r="C95" s="241" t="str">
        <f>IMAGE("http://i.imgur.com/P8G3wDB.png",2)</f>
        <v/>
      </c>
      <c r="D95" s="242"/>
      <c r="E95" s="242"/>
      <c r="F95" s="242"/>
      <c r="G95" s="242"/>
      <c r="H95" s="242"/>
      <c r="I95" s="242"/>
      <c r="J95" s="242"/>
      <c r="K95" s="242"/>
      <c r="L95" s="242"/>
      <c r="M95" s="242"/>
      <c r="N95" s="242"/>
      <c r="O95" s="242"/>
      <c r="P95" s="242"/>
      <c r="Q95" s="242"/>
      <c r="R95" s="242"/>
      <c r="S95" s="242"/>
      <c r="T95" s="242"/>
      <c r="U95" s="242"/>
      <c r="V95" s="242"/>
      <c r="W95" s="242"/>
      <c r="X95" s="242"/>
      <c r="Y95" s="242"/>
      <c r="Z95" s="242"/>
      <c r="AA95" s="242"/>
      <c r="AB95" s="242"/>
      <c r="AC95" s="242"/>
      <c r="AD95" s="242"/>
      <c r="AE95" s="242"/>
      <c r="AF95" s="242"/>
      <c r="AG95" s="242"/>
      <c r="AH95" s="242"/>
      <c r="AI95" s="242"/>
      <c r="AJ95" s="242"/>
      <c r="AK95" s="242"/>
      <c r="AL95" s="242"/>
      <c r="AM95" s="242"/>
      <c r="AN95" s="242"/>
      <c r="AO95" s="239" t="str">
        <f>IMAGE("http://i.imgur.com/koyMZqk.png")</f>
        <v/>
      </c>
      <c r="AP95" s="239"/>
      <c r="AQ95" s="3"/>
      <c r="AR95" s="7"/>
      <c r="AS95" s="3"/>
      <c r="AT95" s="7"/>
      <c r="AU95" s="8"/>
      <c r="AV95" s="3"/>
      <c r="AW95" s="3"/>
      <c r="AX95" s="3"/>
      <c r="AY95" s="3"/>
      <c r="AZ95" s="3"/>
      <c r="BA95" s="3"/>
      <c r="BB95" s="3"/>
      <c r="BC95" s="3"/>
    </row>
    <row r="96" ht="15.75" customHeight="1">
      <c r="A96" s="239"/>
      <c r="C96" s="240" t="str">
        <f>IMAGE("http://i.imgur.com/VtJcr4w.png",2)</f>
        <v/>
      </c>
      <c r="F96" s="240"/>
      <c r="G96" s="240"/>
      <c r="H96" s="240"/>
      <c r="I96" s="240"/>
      <c r="J96" s="240"/>
      <c r="K96" s="240" t="str">
        <f>IMAGE("http://i.imgur.com/GYlWKEy.png",2)</f>
        <v/>
      </c>
      <c r="L96" s="243"/>
      <c r="M96" s="244" t="s">
        <v>137</v>
      </c>
      <c r="N96" s="245"/>
      <c r="O96" s="166"/>
      <c r="P96" s="166"/>
      <c r="Q96" s="166"/>
      <c r="R96" s="166"/>
      <c r="S96" s="166"/>
      <c r="T96" s="166"/>
      <c r="U96" s="246" t="str">
        <f>IMAGE("http://i.imgur.com/1atTEws.png",3)</f>
        <v/>
      </c>
      <c r="W96" s="244" t="s">
        <v>137</v>
      </c>
      <c r="X96" s="245"/>
      <c r="Y96" s="166"/>
      <c r="Z96" s="166"/>
      <c r="AA96" s="166"/>
      <c r="AB96" s="166"/>
      <c r="AC96" s="166"/>
      <c r="AD96" s="166"/>
      <c r="AE96" s="246" t="str">
        <f>IMAGE("http://i.imgur.com/1atTEws.png",3)</f>
        <v/>
      </c>
      <c r="AG96" s="244" t="s">
        <v>137</v>
      </c>
      <c r="AH96" s="245"/>
      <c r="AI96" s="166"/>
      <c r="AJ96" s="166"/>
      <c r="AK96" s="166"/>
      <c r="AL96" s="166"/>
      <c r="AM96" s="166"/>
      <c r="AN96" s="166"/>
      <c r="AP96" s="239"/>
      <c r="AQ96" s="3"/>
      <c r="AR96" s="3"/>
      <c r="AS96" s="3"/>
      <c r="AT96" s="3"/>
      <c r="AU96" s="3"/>
      <c r="AV96" s="3"/>
      <c r="AW96" s="3"/>
      <c r="AX96" s="3"/>
      <c r="AY96" s="7"/>
      <c r="AZ96" s="2"/>
      <c r="BA96" s="2"/>
      <c r="BB96" s="2"/>
      <c r="BC96" s="2"/>
    </row>
    <row r="97" ht="15.75" customHeight="1">
      <c r="A97" s="239"/>
      <c r="F97" s="247" t="s">
        <v>138</v>
      </c>
      <c r="G97" s="25"/>
      <c r="H97" s="25"/>
      <c r="I97" s="25"/>
      <c r="J97" s="25"/>
      <c r="L97" s="243"/>
      <c r="M97" s="244" t="s">
        <v>137</v>
      </c>
      <c r="N97" s="245"/>
      <c r="O97" s="166"/>
      <c r="P97" s="166"/>
      <c r="Q97" s="166"/>
      <c r="R97" s="166"/>
      <c r="S97" s="166"/>
      <c r="T97" s="166"/>
      <c r="W97" s="244" t="s">
        <v>137</v>
      </c>
      <c r="X97" s="245"/>
      <c r="Y97" s="166"/>
      <c r="Z97" s="166"/>
      <c r="AA97" s="166"/>
      <c r="AB97" s="166"/>
      <c r="AC97" s="166"/>
      <c r="AD97" s="166"/>
      <c r="AG97" s="244" t="s">
        <v>137</v>
      </c>
      <c r="AH97" s="245"/>
      <c r="AI97" s="166"/>
      <c r="AJ97" s="166"/>
      <c r="AK97" s="166"/>
      <c r="AL97" s="166"/>
      <c r="AM97" s="166"/>
      <c r="AN97" s="166"/>
      <c r="AP97" s="239"/>
      <c r="AQ97" s="3"/>
      <c r="AR97" s="3"/>
      <c r="AS97" s="3"/>
      <c r="AT97" s="7"/>
      <c r="AU97" s="3"/>
      <c r="AV97" s="3"/>
      <c r="AW97" s="3"/>
      <c r="AX97" s="3"/>
      <c r="AY97" s="7"/>
      <c r="AZ97" s="2"/>
      <c r="BA97" s="2"/>
      <c r="BB97" s="2"/>
      <c r="BC97" s="2"/>
    </row>
    <row r="98" ht="15.75" customHeight="1">
      <c r="A98" s="239"/>
      <c r="F98" s="31"/>
      <c r="G98" s="31"/>
      <c r="H98" s="31"/>
      <c r="I98" s="31"/>
      <c r="J98" s="31"/>
      <c r="L98" s="240"/>
      <c r="M98" s="244" t="s">
        <v>137</v>
      </c>
      <c r="N98" s="245"/>
      <c r="O98" s="166"/>
      <c r="P98" s="166"/>
      <c r="Q98" s="166"/>
      <c r="R98" s="166"/>
      <c r="S98" s="166"/>
      <c r="T98" s="166"/>
      <c r="W98" s="244" t="s">
        <v>137</v>
      </c>
      <c r="X98" s="245"/>
      <c r="Y98" s="166"/>
      <c r="Z98" s="166"/>
      <c r="AA98" s="166"/>
      <c r="AB98" s="166"/>
      <c r="AC98" s="166"/>
      <c r="AD98" s="166"/>
      <c r="AG98" s="244" t="s">
        <v>137</v>
      </c>
      <c r="AH98" s="245"/>
      <c r="AI98" s="166"/>
      <c r="AJ98" s="166"/>
      <c r="AK98" s="166"/>
      <c r="AL98" s="166"/>
      <c r="AM98" s="166"/>
      <c r="AN98" s="166"/>
      <c r="AP98" s="239"/>
      <c r="AQ98" s="3"/>
      <c r="AR98" s="3"/>
      <c r="AS98" s="3"/>
      <c r="AT98" s="7"/>
      <c r="AU98" s="3"/>
      <c r="AV98" s="3"/>
      <c r="AW98" s="3"/>
      <c r="AX98" s="3"/>
      <c r="AY98" s="7"/>
      <c r="AZ98" s="2"/>
      <c r="BA98" s="2"/>
      <c r="BB98" s="2"/>
      <c r="BC98" s="2"/>
    </row>
    <row r="99" ht="15.75" customHeight="1">
      <c r="A99" s="239"/>
      <c r="C99" s="166"/>
      <c r="D99" s="166"/>
      <c r="E99" s="166"/>
      <c r="F99" s="248"/>
      <c r="G99" s="248"/>
      <c r="H99" s="248"/>
      <c r="I99" s="248"/>
      <c r="J99" s="248"/>
      <c r="K99" s="166"/>
      <c r="L99" s="249"/>
      <c r="M99" s="249"/>
      <c r="N99" s="249"/>
      <c r="O99" s="249"/>
      <c r="P99" s="249"/>
      <c r="Q99" s="249"/>
      <c r="R99" s="249"/>
      <c r="S99" s="249"/>
      <c r="T99" s="249"/>
      <c r="U99" s="249"/>
      <c r="V99" s="249"/>
      <c r="W99" s="249"/>
      <c r="X99" s="249"/>
      <c r="Y99" s="249"/>
      <c r="Z99" s="249"/>
      <c r="AA99" s="249"/>
      <c r="AB99" s="249"/>
      <c r="AC99" s="249"/>
      <c r="AD99" s="249"/>
      <c r="AE99" s="249"/>
      <c r="AF99" s="249"/>
      <c r="AG99" s="249"/>
      <c r="AH99" s="249"/>
      <c r="AI99" s="249"/>
      <c r="AJ99" s="249"/>
      <c r="AK99" s="249"/>
      <c r="AL99" s="249"/>
      <c r="AM99" s="249"/>
      <c r="AN99" s="249"/>
      <c r="AP99" s="239"/>
      <c r="AQ99" s="3"/>
      <c r="AR99" s="3"/>
      <c r="AS99" s="3"/>
      <c r="AT99" s="7"/>
      <c r="AU99" s="3"/>
      <c r="AV99" s="3"/>
      <c r="AW99" s="3"/>
      <c r="AX99" s="3"/>
      <c r="AY99" s="7"/>
      <c r="AZ99" s="2"/>
      <c r="BA99" s="2"/>
      <c r="BB99" s="2"/>
      <c r="BC99" s="2"/>
    </row>
    <row r="100" ht="15.75" customHeight="1">
      <c r="A100" s="239"/>
      <c r="B100" s="239" t="str">
        <f>IMAGE("http://i.imgur.com/S2iZUIk.png")</f>
        <v/>
      </c>
      <c r="C100" s="121">
        <v>0.0</v>
      </c>
      <c r="D100" s="245"/>
      <c r="E100" s="166"/>
      <c r="F100" s="166"/>
      <c r="G100" s="166"/>
      <c r="H100" s="166"/>
      <c r="I100" s="166"/>
      <c r="J100" s="166"/>
      <c r="K100" s="250" t="str">
        <f>IMAGE("http://i.imgur.com/YThwbjs.png",3)</f>
        <v/>
      </c>
      <c r="M100" s="121">
        <v>0.0</v>
      </c>
      <c r="N100" s="245"/>
      <c r="O100" s="166"/>
      <c r="P100" s="166"/>
      <c r="Q100" s="166"/>
      <c r="R100" s="166"/>
      <c r="S100" s="166"/>
      <c r="T100" s="166"/>
      <c r="U100" s="250" t="str">
        <f>IMAGE("http://i.imgur.com/YThwbjs.png",3)</f>
        <v/>
      </c>
      <c r="W100" s="121">
        <v>0.0</v>
      </c>
      <c r="X100" s="245"/>
      <c r="Y100" s="166"/>
      <c r="Z100" s="166"/>
      <c r="AA100" s="166"/>
      <c r="AB100" s="166"/>
      <c r="AC100" s="166"/>
      <c r="AD100" s="166"/>
      <c r="AE100" s="239"/>
      <c r="AF100" s="239" t="str">
        <f>IMAGE("http://i.imgur.com/4gaCjL0.png",2)</f>
        <v/>
      </c>
      <c r="AG100" s="251" t="s">
        <v>139</v>
      </c>
      <c r="AI100" s="239" t="str">
        <f>IMAGE("http://i.imgur.com/6jVSPeC.png",2)</f>
        <v/>
      </c>
      <c r="AK100" s="251" t="s">
        <v>140</v>
      </c>
      <c r="AM100" s="239" t="str">
        <f>IMAGE("http://i.imgur.com/PtQGPp0.png",2)</f>
        <v/>
      </c>
      <c r="AO100" s="239" t="str">
        <f>IMAGE("http://i.imgur.com/jVB4BpP.png")</f>
        <v/>
      </c>
      <c r="AP100" s="239"/>
      <c r="AQ100" s="3"/>
      <c r="AR100" s="3"/>
      <c r="AS100" s="3"/>
      <c r="AT100" s="7"/>
      <c r="AU100" s="3"/>
      <c r="AV100" s="3"/>
      <c r="AW100" s="3"/>
      <c r="AX100" s="3"/>
      <c r="AY100" s="3"/>
      <c r="AZ100" s="3"/>
      <c r="BA100" s="3"/>
      <c r="BB100" s="3"/>
      <c r="BC100" s="3"/>
    </row>
    <row r="101" ht="15.75" customHeight="1">
      <c r="A101" s="239"/>
      <c r="C101" s="121">
        <v>0.0</v>
      </c>
      <c r="D101" s="245"/>
      <c r="E101" s="166"/>
      <c r="F101" s="166"/>
      <c r="G101" s="166"/>
      <c r="H101" s="166"/>
      <c r="I101" s="166"/>
      <c r="J101" s="166"/>
      <c r="M101" s="121">
        <v>0.0</v>
      </c>
      <c r="N101" s="245"/>
      <c r="O101" s="166"/>
      <c r="P101" s="166"/>
      <c r="Q101" s="166"/>
      <c r="R101" s="166"/>
      <c r="S101" s="166"/>
      <c r="T101" s="166"/>
      <c r="W101" s="121">
        <v>0.0</v>
      </c>
      <c r="X101" s="245"/>
      <c r="Y101" s="166"/>
      <c r="Z101" s="166"/>
      <c r="AA101" s="166"/>
      <c r="AB101" s="166"/>
      <c r="AC101" s="166"/>
      <c r="AD101" s="166"/>
      <c r="AE101" s="239"/>
      <c r="AG101" s="236"/>
      <c r="AH101" s="25"/>
      <c r="AK101" s="252" t="str">
        <f>if(C$91&lt;&gt;"",if(sum(AQ101:AQ102)&gt;0,sum(AQ101:AQ102),"")+if(isnumber(find("magic initiate",feats)),1,""),"")</f>
        <v/>
      </c>
      <c r="AL101" s="25"/>
      <c r="AP101" s="239"/>
      <c r="AQ101" s="3" t="str">
        <f>IFERROR(__xludf.DUMMYFUNCTION("if(countif(AX6:AX15,""Pact Magic""),if(sum(filter($AT$6:$AT$22,$AX$6:$AX$22=""Pact Magic"")),choose(sum(filter($AT$6:$AT$22,$AX$6:$AX$22=""Pact Magic"")),1,2,"""","""","""","""","""","""","""","""","""","""","""","""","""","""","""","""","""",""""),""""),"&amp;""""")"),"")</f>
        <v/>
      </c>
      <c r="AR101" s="3"/>
      <c r="AS101" s="3"/>
      <c r="AT101" s="7"/>
      <c r="AU101" s="3"/>
      <c r="AV101" s="3"/>
      <c r="AW101" s="3"/>
      <c r="AX101" s="3"/>
      <c r="AY101" s="7"/>
      <c r="AZ101" s="2"/>
      <c r="BA101" s="2"/>
      <c r="BB101" s="2"/>
      <c r="BC101" s="2"/>
    </row>
    <row r="102" ht="15.75" customHeight="1">
      <c r="A102" s="239"/>
      <c r="C102" s="121">
        <v>0.0</v>
      </c>
      <c r="D102" s="245"/>
      <c r="E102" s="166"/>
      <c r="F102" s="166"/>
      <c r="G102" s="166"/>
      <c r="H102" s="166"/>
      <c r="I102" s="166"/>
      <c r="J102" s="166"/>
      <c r="M102" s="121">
        <v>0.0</v>
      </c>
      <c r="N102" s="245"/>
      <c r="O102" s="166"/>
      <c r="P102" s="166"/>
      <c r="Q102" s="166"/>
      <c r="R102" s="166"/>
      <c r="S102" s="166"/>
      <c r="T102" s="166"/>
      <c r="W102" s="121">
        <v>0.0</v>
      </c>
      <c r="X102" s="245"/>
      <c r="Y102" s="166"/>
      <c r="Z102" s="166"/>
      <c r="AA102" s="166"/>
      <c r="AB102" s="166"/>
      <c r="AC102" s="166"/>
      <c r="AD102" s="166"/>
      <c r="AE102" s="239"/>
      <c r="AG102" s="31"/>
      <c r="AH102" s="31"/>
      <c r="AK102" s="31"/>
      <c r="AL102" s="31"/>
      <c r="AP102" s="239"/>
      <c r="AQ102" s="3" t="str">
        <f>if(and(casterLevel&lt;&gt;"",casterLevel&gt;0),choose(casterLevel,2,3,4,4,4,4,4,4,4,4,4,4,4,4,4,4,4,4,4,4),"")</f>
        <v/>
      </c>
      <c r="AR102" s="3"/>
      <c r="AS102" s="3"/>
      <c r="AT102" s="7"/>
      <c r="AU102" s="8"/>
      <c r="AV102" s="3"/>
      <c r="AW102" s="3"/>
      <c r="AX102" s="3"/>
      <c r="AY102" s="7"/>
      <c r="AZ102" s="2"/>
      <c r="BA102" s="2"/>
      <c r="BB102" s="2"/>
      <c r="BC102" s="2"/>
    </row>
    <row r="103" ht="15.75" customHeight="1">
      <c r="A103" s="239"/>
      <c r="C103" s="121">
        <v>0.0</v>
      </c>
      <c r="D103" s="245"/>
      <c r="E103" s="166"/>
      <c r="F103" s="166"/>
      <c r="G103" s="166"/>
      <c r="H103" s="166"/>
      <c r="I103" s="166"/>
      <c r="J103" s="166"/>
      <c r="M103" s="121">
        <v>0.0</v>
      </c>
      <c r="N103" s="245"/>
      <c r="O103" s="166"/>
      <c r="P103" s="166"/>
      <c r="Q103" s="166"/>
      <c r="R103" s="166"/>
      <c r="S103" s="166"/>
      <c r="T103" s="166"/>
      <c r="W103" s="121">
        <v>0.0</v>
      </c>
      <c r="X103" s="245"/>
      <c r="Y103" s="166"/>
      <c r="Z103" s="166"/>
      <c r="AA103" s="166"/>
      <c r="AB103" s="166"/>
      <c r="AC103" s="166"/>
      <c r="AD103" s="166"/>
      <c r="AE103" s="239"/>
      <c r="AG103" s="239"/>
      <c r="AH103" s="239"/>
      <c r="AK103" s="239"/>
      <c r="AL103" s="239"/>
      <c r="AP103" s="239"/>
      <c r="AQ103" s="3"/>
      <c r="AR103" s="3"/>
      <c r="AS103" s="3"/>
      <c r="AT103" s="3"/>
      <c r="AU103" s="3"/>
      <c r="AV103" s="3"/>
      <c r="AW103" s="3"/>
      <c r="AX103" s="3"/>
      <c r="AY103" s="7"/>
      <c r="AZ103" s="2"/>
      <c r="BA103" s="2"/>
      <c r="BB103" s="2"/>
      <c r="BC103" s="2"/>
    </row>
    <row r="104" ht="15.75" customHeight="1">
      <c r="A104" s="239"/>
      <c r="C104" s="121">
        <v>0.0</v>
      </c>
      <c r="D104" s="245"/>
      <c r="E104" s="166"/>
      <c r="F104" s="166"/>
      <c r="G104" s="166"/>
      <c r="H104" s="166"/>
      <c r="I104" s="166"/>
      <c r="J104" s="166"/>
      <c r="M104" s="121">
        <v>0.0</v>
      </c>
      <c r="N104" s="245"/>
      <c r="O104" s="166"/>
      <c r="P104" s="166"/>
      <c r="Q104" s="166"/>
      <c r="R104" s="166"/>
      <c r="S104" s="166"/>
      <c r="T104" s="166"/>
      <c r="W104" s="121">
        <v>0.0</v>
      </c>
      <c r="X104" s="245"/>
      <c r="Y104" s="166"/>
      <c r="Z104" s="166"/>
      <c r="AA104" s="166"/>
      <c r="AB104" s="166"/>
      <c r="AC104" s="166"/>
      <c r="AD104" s="166"/>
      <c r="AE104" s="200"/>
      <c r="AF104" s="200"/>
      <c r="AG104" s="200"/>
      <c r="AH104" s="200"/>
      <c r="AI104" s="200"/>
      <c r="AJ104" s="200"/>
      <c r="AK104" s="200"/>
      <c r="AL104" s="200"/>
      <c r="AM104" s="200"/>
      <c r="AN104" s="200"/>
      <c r="AP104" s="239"/>
      <c r="AQ104" s="3"/>
      <c r="AR104" s="3"/>
      <c r="AS104" s="3"/>
      <c r="AT104" s="3"/>
      <c r="AU104" s="3"/>
      <c r="AV104" s="3"/>
      <c r="AW104" s="3"/>
      <c r="AX104" s="3"/>
      <c r="AY104" s="3"/>
      <c r="AZ104" s="3"/>
      <c r="BA104" s="3"/>
      <c r="BB104" s="3"/>
      <c r="BC104" s="3"/>
    </row>
    <row r="105" ht="15.75" customHeight="1">
      <c r="A105" s="239"/>
      <c r="C105" s="249"/>
      <c r="D105" s="253"/>
      <c r="E105" s="249"/>
      <c r="F105" s="249"/>
      <c r="G105" s="249"/>
      <c r="H105" s="249"/>
      <c r="I105" s="249"/>
      <c r="J105" s="249"/>
      <c r="K105" s="249"/>
      <c r="L105" s="249"/>
      <c r="M105" s="249"/>
      <c r="N105" s="249"/>
      <c r="O105" s="249"/>
      <c r="P105" s="249"/>
      <c r="Q105" s="249"/>
      <c r="R105" s="249"/>
      <c r="S105" s="249"/>
      <c r="T105" s="249"/>
      <c r="U105" s="249"/>
      <c r="V105" s="249"/>
      <c r="W105" s="249"/>
      <c r="X105" s="249"/>
      <c r="Y105" s="249"/>
      <c r="Z105" s="249"/>
      <c r="AA105" s="249"/>
      <c r="AB105" s="249"/>
      <c r="AC105" s="249"/>
      <c r="AD105" s="249"/>
      <c r="AE105" s="249"/>
      <c r="AF105" s="249"/>
      <c r="AG105" s="249"/>
      <c r="AH105" s="249"/>
      <c r="AI105" s="249"/>
      <c r="AJ105" s="249"/>
      <c r="AK105" s="249"/>
      <c r="AL105" s="249"/>
      <c r="AM105" s="249"/>
      <c r="AN105" s="249"/>
      <c r="AP105" s="239"/>
      <c r="AQ105" s="3"/>
      <c r="AR105" s="3"/>
      <c r="AS105" s="3"/>
      <c r="AT105" s="3"/>
      <c r="AU105" s="3"/>
      <c r="AV105" s="3"/>
      <c r="AW105" s="3"/>
      <c r="AX105" s="3"/>
      <c r="AY105" s="3"/>
      <c r="AZ105" s="3"/>
      <c r="BA105" s="3"/>
      <c r="BB105" s="3"/>
      <c r="BC105" s="3"/>
    </row>
    <row r="106" ht="15.75" customHeight="1">
      <c r="A106" s="239"/>
      <c r="B106" s="239" t="str">
        <f>IMAGE("http://i.imgur.com/S2iZUIk.png")</f>
        <v/>
      </c>
      <c r="C106" s="254" t="str">
        <f>IMAGE("http://i.imgur.com/DbudP1A.png",2)</f>
        <v/>
      </c>
      <c r="E106" s="251" t="s">
        <v>140</v>
      </c>
      <c r="G106" s="255" t="str">
        <f>IMAGE("http://i.imgur.com/4ww92Ws.png",2)</f>
        <v/>
      </c>
      <c r="I106" s="251" t="s">
        <v>139</v>
      </c>
      <c r="K106" s="240" t="str">
        <f>IMAGE("http://i.imgur.com/GYlWKEy.png",2)</f>
        <v/>
      </c>
      <c r="L106" s="240"/>
      <c r="M106" s="121">
        <v>0.0</v>
      </c>
      <c r="N106" s="245"/>
      <c r="O106" s="166"/>
      <c r="P106" s="166"/>
      <c r="Q106" s="166"/>
      <c r="R106" s="166"/>
      <c r="S106" s="166"/>
      <c r="T106" s="166"/>
      <c r="U106" s="250" t="str">
        <f>IMAGE("http://i.imgur.com/YThwbjs.png",3)</f>
        <v/>
      </c>
      <c r="W106" s="121">
        <v>0.0</v>
      </c>
      <c r="X106" s="245"/>
      <c r="Y106" s="166"/>
      <c r="Z106" s="166"/>
      <c r="AA106" s="166"/>
      <c r="AB106" s="166"/>
      <c r="AC106" s="166"/>
      <c r="AD106" s="166"/>
      <c r="AE106" s="250" t="str">
        <f>IMAGE("http://i.imgur.com/YThwbjs.png",3)</f>
        <v/>
      </c>
      <c r="AG106" s="121">
        <v>0.0</v>
      </c>
      <c r="AH106" s="245"/>
      <c r="AI106" s="166"/>
      <c r="AJ106" s="166"/>
      <c r="AK106" s="166"/>
      <c r="AL106" s="166"/>
      <c r="AM106" s="166"/>
      <c r="AN106" s="166"/>
      <c r="AO106" s="239" t="str">
        <f>IMAGE("http://i.imgur.com/jVB4BpP.png")</f>
        <v/>
      </c>
      <c r="AP106" s="239"/>
      <c r="AQ106" s="3"/>
      <c r="AR106" s="3"/>
      <c r="AS106" s="3"/>
      <c r="AT106" s="3"/>
      <c r="AU106" s="3"/>
      <c r="AV106" s="3"/>
      <c r="AW106" s="3"/>
      <c r="AX106" s="3"/>
      <c r="AY106" s="3"/>
      <c r="AZ106" s="3"/>
      <c r="BA106" s="3"/>
      <c r="BB106" s="3"/>
      <c r="BC106" s="3"/>
    </row>
    <row r="107" ht="15.75" customHeight="1">
      <c r="A107" s="239"/>
      <c r="E107" s="256" t="str">
        <f>if(and($C$91&lt;&gt;"",sum(AQ107:AQ108)&gt;0),sum(AQ107:AQ108),"")</f>
        <v/>
      </c>
      <c r="F107" s="25"/>
      <c r="I107" s="236"/>
      <c r="J107" s="25"/>
      <c r="L107" s="240"/>
      <c r="M107" s="121">
        <v>0.0</v>
      </c>
      <c r="N107" s="245"/>
      <c r="O107" s="166"/>
      <c r="P107" s="166"/>
      <c r="Q107" s="166"/>
      <c r="R107" s="166"/>
      <c r="S107" s="166"/>
      <c r="T107" s="166"/>
      <c r="W107" s="121">
        <v>0.0</v>
      </c>
      <c r="X107" s="245"/>
      <c r="Y107" s="166"/>
      <c r="Z107" s="166"/>
      <c r="AA107" s="166"/>
      <c r="AB107" s="166"/>
      <c r="AC107" s="166"/>
      <c r="AD107" s="166"/>
      <c r="AG107" s="121">
        <v>0.0</v>
      </c>
      <c r="AH107" s="245"/>
      <c r="AI107" s="166"/>
      <c r="AJ107" s="166"/>
      <c r="AK107" s="166"/>
      <c r="AL107" s="166"/>
      <c r="AM107" s="166"/>
      <c r="AN107" s="166"/>
      <c r="AP107" s="239"/>
      <c r="AQ107" s="3" t="str">
        <f>IFERROR(__xludf.DUMMYFUNCTION("if(countif(AX6:AX15,""Pact Magic""),if(sum(filter($AT$6:$AT$22,$AX$6:$AX$22=""Pact Magic"")),choose(sum(filter($AT$6:$AT$22,$AX$6:$AX$22=""Pact Magic"")),"""","""",2,2,"""","""","""","""","""","""","""","""","""","""","""","""","""","""","""",""""),""""),"&amp;""""")"),"")</f>
        <v/>
      </c>
      <c r="AR107" s="3"/>
      <c r="AS107" s="3"/>
      <c r="AT107" s="3"/>
      <c r="AU107" s="3"/>
      <c r="AV107" s="3"/>
      <c r="AW107" s="3"/>
      <c r="AX107" s="3"/>
      <c r="AY107" s="3"/>
      <c r="AZ107" s="3"/>
      <c r="BA107" s="3"/>
      <c r="BB107" s="3"/>
      <c r="BC107" s="3"/>
    </row>
    <row r="108" ht="15.75" customHeight="1">
      <c r="A108" s="239"/>
      <c r="E108" s="31"/>
      <c r="F108" s="31"/>
      <c r="I108" s="31"/>
      <c r="J108" s="31"/>
      <c r="L108" s="240"/>
      <c r="M108" s="121">
        <v>0.0</v>
      </c>
      <c r="N108" s="245"/>
      <c r="O108" s="166"/>
      <c r="P108" s="166"/>
      <c r="Q108" s="166"/>
      <c r="R108" s="166"/>
      <c r="S108" s="166"/>
      <c r="T108" s="166"/>
      <c r="W108" s="121">
        <v>0.0</v>
      </c>
      <c r="X108" s="245"/>
      <c r="Y108" s="166"/>
      <c r="Z108" s="166"/>
      <c r="AA108" s="166"/>
      <c r="AB108" s="166"/>
      <c r="AC108" s="166"/>
      <c r="AD108" s="166"/>
      <c r="AG108" s="121">
        <v>0.0</v>
      </c>
      <c r="AH108" s="245"/>
      <c r="AI108" s="166"/>
      <c r="AJ108" s="166"/>
      <c r="AK108" s="166"/>
      <c r="AL108" s="166"/>
      <c r="AM108" s="166"/>
      <c r="AN108" s="166"/>
      <c r="AP108" s="239"/>
      <c r="AQ108" s="3" t="str">
        <f>if(and(casterLevel&lt;&gt;"",casterLevel&gt;0),choose(casterLevel,"","",2,3,3,3,3,3,3,3,3,3,3,3,3,3,3,3,3,3),"")</f>
        <v/>
      </c>
      <c r="AR108" s="3"/>
      <c r="AS108" s="3"/>
      <c r="AT108" s="3"/>
      <c r="AU108" s="3"/>
      <c r="AV108" s="3"/>
      <c r="AW108" s="3"/>
      <c r="AX108" s="3"/>
      <c r="AY108" s="3"/>
      <c r="AZ108" s="3"/>
      <c r="BA108" s="3"/>
      <c r="BB108" s="3"/>
      <c r="BC108" s="3"/>
    </row>
    <row r="109" ht="15.75" customHeight="1">
      <c r="A109" s="239"/>
      <c r="E109" s="240"/>
      <c r="F109" s="240"/>
      <c r="I109" s="240"/>
      <c r="J109" s="240"/>
      <c r="L109" s="240"/>
      <c r="M109" s="121">
        <v>0.0</v>
      </c>
      <c r="N109" s="245"/>
      <c r="O109" s="166"/>
      <c r="P109" s="166"/>
      <c r="Q109" s="166"/>
      <c r="R109" s="166"/>
      <c r="S109" s="166"/>
      <c r="T109" s="166"/>
      <c r="W109" s="121">
        <v>0.0</v>
      </c>
      <c r="X109" s="245"/>
      <c r="Y109" s="166"/>
      <c r="Z109" s="166"/>
      <c r="AA109" s="166"/>
      <c r="AB109" s="166"/>
      <c r="AC109" s="166"/>
      <c r="AD109" s="166"/>
      <c r="AG109" s="121">
        <v>0.0</v>
      </c>
      <c r="AH109" s="245"/>
      <c r="AI109" s="166"/>
      <c r="AJ109" s="166"/>
      <c r="AK109" s="166"/>
      <c r="AL109" s="166"/>
      <c r="AM109" s="166"/>
      <c r="AN109" s="166"/>
      <c r="AP109" s="239"/>
      <c r="AQ109" s="3"/>
      <c r="AR109" s="3"/>
      <c r="AS109" s="3"/>
      <c r="AT109" s="3"/>
      <c r="AU109" s="3"/>
      <c r="AV109" s="3"/>
      <c r="AW109" s="3"/>
      <c r="AX109" s="3"/>
      <c r="AY109" s="7"/>
      <c r="AZ109" s="2"/>
      <c r="BA109" s="2"/>
      <c r="BB109" s="2"/>
      <c r="BC109" s="2"/>
    </row>
    <row r="110" ht="15.75" customHeight="1">
      <c r="A110" s="239"/>
      <c r="C110" s="200"/>
      <c r="D110" s="200"/>
      <c r="E110" s="200"/>
      <c r="F110" s="200"/>
      <c r="G110" s="200"/>
      <c r="H110" s="200"/>
      <c r="I110" s="200"/>
      <c r="J110" s="200"/>
      <c r="K110" s="200"/>
      <c r="L110" s="200"/>
      <c r="M110" s="121">
        <v>0.0</v>
      </c>
      <c r="N110" s="245"/>
      <c r="O110" s="166"/>
      <c r="P110" s="166"/>
      <c r="Q110" s="166"/>
      <c r="R110" s="166"/>
      <c r="S110" s="166"/>
      <c r="T110" s="166"/>
      <c r="W110" s="121">
        <v>0.0</v>
      </c>
      <c r="X110" s="245"/>
      <c r="Y110" s="166"/>
      <c r="Z110" s="166"/>
      <c r="AA110" s="166"/>
      <c r="AB110" s="166"/>
      <c r="AC110" s="166"/>
      <c r="AD110" s="166"/>
      <c r="AG110" s="121">
        <v>0.0</v>
      </c>
      <c r="AH110" s="245"/>
      <c r="AI110" s="166"/>
      <c r="AJ110" s="166"/>
      <c r="AK110" s="166"/>
      <c r="AL110" s="166"/>
      <c r="AM110" s="166"/>
      <c r="AN110" s="166"/>
      <c r="AP110" s="239"/>
      <c r="AQ110" s="3"/>
      <c r="AR110" s="3"/>
      <c r="AS110" s="3"/>
      <c r="AT110" s="3"/>
      <c r="AU110" s="3"/>
      <c r="AV110" s="3"/>
      <c r="AW110" s="3"/>
      <c r="AX110" s="3"/>
      <c r="AY110" s="7"/>
      <c r="AZ110" s="2"/>
      <c r="BA110" s="2"/>
      <c r="BB110" s="2"/>
      <c r="BC110" s="2"/>
    </row>
    <row r="111" ht="15.75" customHeight="1">
      <c r="A111" s="239"/>
      <c r="C111" s="249"/>
      <c r="D111" s="249"/>
      <c r="E111" s="249"/>
      <c r="F111" s="249"/>
      <c r="G111" s="249"/>
      <c r="H111" s="249"/>
      <c r="I111" s="249"/>
      <c r="J111" s="249"/>
      <c r="K111" s="249"/>
      <c r="L111" s="249"/>
      <c r="M111" s="249"/>
      <c r="N111" s="249"/>
      <c r="O111" s="249"/>
      <c r="P111" s="249"/>
      <c r="Q111" s="249"/>
      <c r="R111" s="249"/>
      <c r="S111" s="249"/>
      <c r="T111" s="249"/>
      <c r="U111" s="249"/>
      <c r="V111" s="249" t="str">
        <f>if(E107="","You can hide each level of spells individually by hiding the rows (on the left).","")</f>
        <v>You can hide each level of spells individually by hiding the rows (on the left).</v>
      </c>
      <c r="W111" s="249"/>
      <c r="X111" s="249"/>
      <c r="Y111" s="249"/>
      <c r="Z111" s="249"/>
      <c r="AA111" s="249"/>
      <c r="AB111" s="249"/>
      <c r="AC111" s="249"/>
      <c r="AD111" s="249"/>
      <c r="AE111" s="249"/>
      <c r="AF111" s="249"/>
      <c r="AG111" s="249"/>
      <c r="AH111" s="249"/>
      <c r="AI111" s="249"/>
      <c r="AJ111" s="249"/>
      <c r="AK111" s="249"/>
      <c r="AL111" s="249"/>
      <c r="AM111" s="249"/>
      <c r="AN111" s="257"/>
      <c r="AP111" s="239"/>
      <c r="AQ111" s="3"/>
      <c r="AR111" s="3"/>
      <c r="AS111" s="3"/>
      <c r="AT111" s="3"/>
      <c r="AU111" s="3"/>
      <c r="AV111" s="3"/>
      <c r="AW111" s="3"/>
      <c r="AX111" s="3"/>
      <c r="AY111" s="7"/>
      <c r="AZ111" s="2"/>
      <c r="BA111" s="2"/>
      <c r="BB111" s="2"/>
      <c r="BC111" s="2"/>
    </row>
    <row r="112" ht="15.75" customHeight="1">
      <c r="A112" s="239"/>
      <c r="B112" s="239" t="str">
        <f>IMAGE("http://i.imgur.com/S2iZUIk.png")</f>
        <v/>
      </c>
      <c r="C112" s="121">
        <v>0.0</v>
      </c>
      <c r="D112" s="245"/>
      <c r="E112" s="166"/>
      <c r="F112" s="166"/>
      <c r="G112" s="166"/>
      <c r="H112" s="166"/>
      <c r="I112" s="166"/>
      <c r="J112" s="166"/>
      <c r="K112" s="250" t="str">
        <f>IMAGE("http://i.imgur.com/YThwbjs.png",3)</f>
        <v/>
      </c>
      <c r="M112" s="121">
        <v>0.0</v>
      </c>
      <c r="N112" s="245"/>
      <c r="O112" s="166"/>
      <c r="P112" s="166"/>
      <c r="Q112" s="166"/>
      <c r="R112" s="166"/>
      <c r="S112" s="166"/>
      <c r="T112" s="166"/>
      <c r="U112" s="250" t="str">
        <f>IMAGE("http://i.imgur.com/YThwbjs.png",3)</f>
        <v/>
      </c>
      <c r="W112" s="121">
        <v>0.0</v>
      </c>
      <c r="X112" s="245"/>
      <c r="Y112" s="166"/>
      <c r="Z112" s="166"/>
      <c r="AA112" s="166"/>
      <c r="AB112" s="166"/>
      <c r="AC112" s="166"/>
      <c r="AD112" s="166"/>
      <c r="AE112" s="239"/>
      <c r="AF112" s="239" t="str">
        <f>IMAGE("http://i.imgur.com/4gaCjL0.png",2)</f>
        <v/>
      </c>
      <c r="AG112" s="258"/>
      <c r="AH112" s="258"/>
      <c r="AI112" s="239" t="str">
        <f>IMAGE("http://i.imgur.com/6jVSPeC.png",2)</f>
        <v/>
      </c>
      <c r="AK112" s="258"/>
      <c r="AL112" s="258"/>
      <c r="AM112" s="239" t="str">
        <f>IMAGE("http://i.imgur.com/VunFGZ6.png",2)</f>
        <v/>
      </c>
      <c r="AO112" s="239" t="str">
        <f>IMAGE("http://i.imgur.com/jVB4BpP.png")</f>
        <v/>
      </c>
      <c r="AP112" s="239"/>
      <c r="AQ112" s="3"/>
      <c r="AR112" s="3"/>
      <c r="AS112" s="3"/>
      <c r="AT112" s="3"/>
      <c r="AU112" s="3"/>
      <c r="AV112" s="3"/>
      <c r="AW112" s="3"/>
      <c r="AX112" s="3"/>
      <c r="AY112" s="7"/>
      <c r="AZ112" s="2"/>
      <c r="BA112" s="2"/>
      <c r="BB112" s="2"/>
      <c r="BC112" s="2"/>
    </row>
    <row r="113" ht="15.75" customHeight="1">
      <c r="A113" s="239"/>
      <c r="C113" s="121">
        <v>0.0</v>
      </c>
      <c r="D113" s="245"/>
      <c r="E113" s="166"/>
      <c r="F113" s="166"/>
      <c r="G113" s="166"/>
      <c r="H113" s="166"/>
      <c r="I113" s="166"/>
      <c r="J113" s="166"/>
      <c r="M113" s="121">
        <v>0.0</v>
      </c>
      <c r="N113" s="245"/>
      <c r="O113" s="166"/>
      <c r="P113" s="166"/>
      <c r="Q113" s="166"/>
      <c r="R113" s="166"/>
      <c r="S113" s="166"/>
      <c r="T113" s="166"/>
      <c r="W113" s="121">
        <v>0.0</v>
      </c>
      <c r="X113" s="245"/>
      <c r="Y113" s="166"/>
      <c r="Z113" s="166"/>
      <c r="AA113" s="166"/>
      <c r="AB113" s="166"/>
      <c r="AC113" s="166"/>
      <c r="AD113" s="166"/>
      <c r="AE113" s="239"/>
      <c r="AG113" s="236"/>
      <c r="AH113" s="25"/>
      <c r="AK113" s="256" t="str">
        <f>if(and($C$91&lt;&gt;"",sum(AQ113:AQ114)&gt;0),sum(AQ113:AQ114),"")</f>
        <v/>
      </c>
      <c r="AL113" s="25"/>
      <c r="AP113" s="239"/>
      <c r="AQ113" s="3" t="str">
        <f>IFERROR(__xludf.DUMMYFUNCTION("if(countif(AX6:AX15,""Pact Magic""),if(sum(filter($AT$6:$AT$22,$AX$6:$AX$22=""Pact Magic"")),choose(sum(filter($AT$6:$AT$22,$AX$6:$AX$22=""Pact Magic"")),"""","""","""","""",2,2,"""","""","""","""","""","""","""","""","""","""","""","""","""",""""),""""),"&amp;""""")"),"")</f>
        <v/>
      </c>
      <c r="AR113" s="3"/>
      <c r="AS113" s="3"/>
      <c r="AT113" s="3"/>
      <c r="AU113" s="3"/>
      <c r="AV113" s="3"/>
      <c r="AW113" s="3"/>
      <c r="AX113" s="3"/>
      <c r="AY113" s="7"/>
      <c r="AZ113" s="2"/>
      <c r="BA113" s="2"/>
      <c r="BB113" s="2"/>
      <c r="BC113" s="2"/>
    </row>
    <row r="114" ht="15.75" customHeight="1">
      <c r="A114" s="239"/>
      <c r="C114" s="121">
        <v>0.0</v>
      </c>
      <c r="D114" s="245"/>
      <c r="E114" s="166"/>
      <c r="F114" s="166"/>
      <c r="G114" s="166"/>
      <c r="H114" s="166"/>
      <c r="I114" s="166"/>
      <c r="J114" s="166"/>
      <c r="M114" s="121">
        <v>0.0</v>
      </c>
      <c r="N114" s="245"/>
      <c r="O114" s="166"/>
      <c r="P114" s="166"/>
      <c r="Q114" s="166"/>
      <c r="R114" s="166"/>
      <c r="S114" s="166"/>
      <c r="T114" s="166"/>
      <c r="W114" s="121">
        <v>0.0</v>
      </c>
      <c r="X114" s="245"/>
      <c r="Y114" s="166"/>
      <c r="Z114" s="166"/>
      <c r="AA114" s="166"/>
      <c r="AB114" s="166"/>
      <c r="AC114" s="166"/>
      <c r="AD114" s="166"/>
      <c r="AE114" s="239"/>
      <c r="AG114" s="31"/>
      <c r="AH114" s="31"/>
      <c r="AK114" s="31"/>
      <c r="AL114" s="31"/>
      <c r="AP114" s="239"/>
      <c r="AQ114" s="3" t="str">
        <f>if(and(casterLevel&lt;&gt;"",casterLevel&gt;0),choose(casterLevel,"","","","",2,3,3,3,3,3,3,3,3,3,3,3,3,3,3,3),"")</f>
        <v/>
      </c>
      <c r="AR114" s="3"/>
      <c r="AS114" s="3"/>
      <c r="AT114" s="3"/>
      <c r="AU114" s="3"/>
      <c r="AV114" s="3"/>
      <c r="AW114" s="3"/>
      <c r="AX114" s="3"/>
      <c r="AY114" s="7"/>
      <c r="AZ114" s="2"/>
      <c r="BA114" s="2"/>
      <c r="BB114" s="2"/>
      <c r="BC114" s="2"/>
    </row>
    <row r="115" ht="15.75" customHeight="1">
      <c r="A115" s="239"/>
      <c r="C115" s="121">
        <v>0.0</v>
      </c>
      <c r="D115" s="245"/>
      <c r="E115" s="166"/>
      <c r="F115" s="166"/>
      <c r="G115" s="166"/>
      <c r="H115" s="166"/>
      <c r="I115" s="166"/>
      <c r="J115" s="166"/>
      <c r="M115" s="121">
        <v>0.0</v>
      </c>
      <c r="N115" s="245"/>
      <c r="O115" s="166"/>
      <c r="P115" s="166"/>
      <c r="Q115" s="166"/>
      <c r="R115" s="166"/>
      <c r="S115" s="166"/>
      <c r="T115" s="166"/>
      <c r="W115" s="121">
        <v>0.0</v>
      </c>
      <c r="X115" s="245"/>
      <c r="Y115" s="166"/>
      <c r="Z115" s="166"/>
      <c r="AA115" s="166"/>
      <c r="AB115" s="166"/>
      <c r="AC115" s="166"/>
      <c r="AD115" s="166"/>
      <c r="AE115" s="239"/>
      <c r="AG115" s="239"/>
      <c r="AH115" s="239"/>
      <c r="AK115" s="239"/>
      <c r="AL115" s="239"/>
      <c r="AP115" s="239"/>
      <c r="AQ115" s="3"/>
      <c r="AR115" s="3"/>
      <c r="AS115" s="3"/>
      <c r="AT115" s="3"/>
      <c r="AU115" s="3"/>
      <c r="AV115" s="3"/>
      <c r="AW115" s="3"/>
      <c r="AX115" s="3"/>
      <c r="AY115" s="7"/>
      <c r="AZ115" s="2"/>
      <c r="BA115" s="2"/>
      <c r="BB115" s="2"/>
      <c r="BC115" s="2"/>
    </row>
    <row r="116" ht="15.75" customHeight="1">
      <c r="A116" s="239"/>
      <c r="C116" s="121">
        <v>0.0</v>
      </c>
      <c r="D116" s="245"/>
      <c r="E116" s="166"/>
      <c r="F116" s="166"/>
      <c r="G116" s="166"/>
      <c r="H116" s="166"/>
      <c r="I116" s="166"/>
      <c r="J116" s="166"/>
      <c r="M116" s="121">
        <v>0.0</v>
      </c>
      <c r="N116" s="245"/>
      <c r="O116" s="166"/>
      <c r="P116" s="166"/>
      <c r="Q116" s="166"/>
      <c r="R116" s="166"/>
      <c r="S116" s="166"/>
      <c r="T116" s="166"/>
      <c r="W116" s="121">
        <v>0.0</v>
      </c>
      <c r="X116" s="245"/>
      <c r="Y116" s="166"/>
      <c r="Z116" s="166"/>
      <c r="AA116" s="166"/>
      <c r="AB116" s="166"/>
      <c r="AC116" s="166"/>
      <c r="AD116" s="166"/>
      <c r="AE116" s="200"/>
      <c r="AF116" s="259"/>
      <c r="AG116" s="259"/>
      <c r="AH116" s="259"/>
      <c r="AI116" s="259"/>
      <c r="AJ116" s="259"/>
      <c r="AK116" s="259"/>
      <c r="AL116" s="259"/>
      <c r="AM116" s="259"/>
      <c r="AN116" s="259"/>
      <c r="AP116" s="239"/>
      <c r="AQ116" s="3"/>
      <c r="AR116" s="3"/>
      <c r="AS116" s="3"/>
      <c r="AT116" s="3"/>
      <c r="AU116" s="3"/>
      <c r="AV116" s="3"/>
      <c r="AW116" s="3"/>
      <c r="AX116" s="3"/>
      <c r="AY116" s="7"/>
      <c r="AZ116" s="2"/>
      <c r="BA116" s="2"/>
      <c r="BB116" s="2"/>
      <c r="BC116" s="2"/>
    </row>
    <row r="117" ht="15.75" customHeight="1">
      <c r="A117" s="239"/>
      <c r="C117" s="249"/>
      <c r="D117" s="249"/>
      <c r="E117" s="249"/>
      <c r="F117" s="249"/>
      <c r="G117" s="249"/>
      <c r="H117" s="249"/>
      <c r="I117" s="249"/>
      <c r="J117" s="249"/>
      <c r="K117" s="249"/>
      <c r="L117" s="249"/>
      <c r="M117" s="249"/>
      <c r="N117" s="249"/>
      <c r="O117" s="249"/>
      <c r="P117" s="249"/>
      <c r="Q117" s="249"/>
      <c r="R117" s="249"/>
      <c r="S117" s="249"/>
      <c r="T117" s="249"/>
      <c r="U117" s="249"/>
      <c r="V117" s="249"/>
      <c r="W117" s="249"/>
      <c r="X117" s="249"/>
      <c r="Y117" s="249"/>
      <c r="Z117" s="249"/>
      <c r="AA117" s="249"/>
      <c r="AB117" s="249"/>
      <c r="AC117" s="249"/>
      <c r="AD117" s="249"/>
      <c r="AE117" s="249"/>
      <c r="AF117" s="249"/>
      <c r="AG117" s="249"/>
      <c r="AH117" s="249"/>
      <c r="AI117" s="249"/>
      <c r="AJ117" s="249"/>
      <c r="AK117" s="249"/>
      <c r="AL117" s="249"/>
      <c r="AM117" s="249"/>
      <c r="AN117" s="249"/>
      <c r="AP117" s="239"/>
      <c r="AQ117" s="3"/>
      <c r="AR117" s="3"/>
      <c r="AS117" s="3"/>
      <c r="AT117" s="3"/>
      <c r="AU117" s="3"/>
      <c r="AV117" s="3"/>
      <c r="AW117" s="3"/>
      <c r="AX117" s="3"/>
      <c r="AY117" s="7"/>
      <c r="AZ117" s="2"/>
      <c r="BA117" s="2"/>
      <c r="BB117" s="2"/>
      <c r="BC117" s="2"/>
    </row>
    <row r="118" ht="15.75" customHeight="1">
      <c r="A118" s="239"/>
      <c r="B118" s="239" t="str">
        <f>IMAGE("http://i.imgur.com/DhOsDAQ.png")</f>
        <v/>
      </c>
      <c r="C118" s="254" t="str">
        <f>IMAGE("http://i.imgur.com/fhNGYbL.png",2)</f>
        <v/>
      </c>
      <c r="E118" s="258"/>
      <c r="G118" s="255" t="str">
        <f>IMAGE("http://i.imgur.com/4ww92Ws.png",2)</f>
        <v/>
      </c>
      <c r="I118" s="258"/>
      <c r="K118" s="240" t="str">
        <f>IMAGE("http://i.imgur.com/GYlWKEy.png",2)</f>
        <v/>
      </c>
      <c r="L118" s="240"/>
      <c r="M118" s="121">
        <v>0.0</v>
      </c>
      <c r="N118" s="245"/>
      <c r="O118" s="166"/>
      <c r="P118" s="166"/>
      <c r="Q118" s="166"/>
      <c r="R118" s="166"/>
      <c r="S118" s="166"/>
      <c r="T118" s="166"/>
      <c r="U118" s="260" t="str">
        <f>IMAGE("http://i.imgur.com/1atTEws.png",3)</f>
        <v/>
      </c>
      <c r="W118" s="121">
        <v>0.0</v>
      </c>
      <c r="X118" s="245"/>
      <c r="Y118" s="166"/>
      <c r="Z118" s="166"/>
      <c r="AA118" s="166"/>
      <c r="AB118" s="166"/>
      <c r="AC118" s="166"/>
      <c r="AD118" s="166"/>
      <c r="AE118" s="260" t="str">
        <f>IMAGE("http://i.imgur.com/1atTEws.png",3)</f>
        <v/>
      </c>
      <c r="AG118" s="121">
        <v>0.0</v>
      </c>
      <c r="AH118" s="245"/>
      <c r="AI118" s="166"/>
      <c r="AJ118" s="166"/>
      <c r="AK118" s="166"/>
      <c r="AL118" s="166"/>
      <c r="AM118" s="166"/>
      <c r="AN118" s="166"/>
      <c r="AO118" s="239" t="str">
        <f>IMAGE("http://i.imgur.com/NNIwrh4.png",3)</f>
        <v/>
      </c>
      <c r="AP118" s="239"/>
      <c r="AQ118" s="3"/>
      <c r="AR118" s="3"/>
      <c r="AS118" s="3"/>
      <c r="AT118" s="3"/>
      <c r="AU118" s="3"/>
      <c r="AV118" s="3"/>
      <c r="AW118" s="3"/>
      <c r="AX118" s="3"/>
      <c r="AY118" s="7"/>
      <c r="AZ118" s="2"/>
      <c r="BA118" s="2"/>
      <c r="BB118" s="2"/>
      <c r="BC118" s="2"/>
    </row>
    <row r="119" ht="15.75" customHeight="1">
      <c r="A119" s="239"/>
      <c r="E119" s="256" t="str">
        <f>if(and($C$91&lt;&gt;"",sum(AQ119:AQ120)&gt;0),sum(AQ119:AQ120),"")</f>
        <v/>
      </c>
      <c r="F119" s="25"/>
      <c r="I119" s="236"/>
      <c r="J119" s="25"/>
      <c r="L119" s="240"/>
      <c r="M119" s="121">
        <v>0.0</v>
      </c>
      <c r="N119" s="245"/>
      <c r="O119" s="166"/>
      <c r="P119" s="166"/>
      <c r="Q119" s="166"/>
      <c r="R119" s="166"/>
      <c r="S119" s="166"/>
      <c r="T119" s="166"/>
      <c r="W119" s="121">
        <v>0.0</v>
      </c>
      <c r="X119" s="245"/>
      <c r="Y119" s="166"/>
      <c r="Z119" s="166"/>
      <c r="AA119" s="166"/>
      <c r="AB119" s="166"/>
      <c r="AC119" s="166"/>
      <c r="AD119" s="166"/>
      <c r="AG119" s="121">
        <v>0.0</v>
      </c>
      <c r="AH119" s="245"/>
      <c r="AI119" s="166"/>
      <c r="AJ119" s="166"/>
      <c r="AK119" s="166"/>
      <c r="AL119" s="166"/>
      <c r="AM119" s="166"/>
      <c r="AN119" s="166"/>
      <c r="AP119" s="239"/>
      <c r="AQ119" s="3" t="str">
        <f>IFERROR(__xludf.DUMMYFUNCTION("if(countif(AX6:AX15,""Pact Magic""),if(sum(filter($AT$6:$AT$22,$AX$6:$AX$22=""Pact Magic"")),choose(sum(filter($AT$6:$AT$22,$AX$6:$AX$22=""Pact Magic"")),"""","""","""","""","""","""",2,2,"""","""","""","""","""","""","""","""","""","""","""",""""),""""),"&amp;""""")"),"")</f>
        <v/>
      </c>
      <c r="AR119" s="3"/>
      <c r="AS119" s="3"/>
      <c r="AT119" s="3"/>
      <c r="AU119" s="3"/>
      <c r="AV119" s="3"/>
      <c r="AW119" s="3"/>
      <c r="AX119" s="3"/>
      <c r="AY119" s="7"/>
      <c r="AZ119" s="2"/>
      <c r="BA119" s="2"/>
      <c r="BB119" s="2"/>
      <c r="BC119" s="2"/>
    </row>
    <row r="120" ht="15.75" customHeight="1">
      <c r="A120" s="239"/>
      <c r="E120" s="31"/>
      <c r="F120" s="31"/>
      <c r="I120" s="31"/>
      <c r="J120" s="31"/>
      <c r="L120" s="240"/>
      <c r="M120" s="121">
        <v>0.0</v>
      </c>
      <c r="N120" s="245"/>
      <c r="O120" s="166"/>
      <c r="P120" s="166"/>
      <c r="Q120" s="166"/>
      <c r="R120" s="166"/>
      <c r="S120" s="166"/>
      <c r="T120" s="166"/>
      <c r="W120" s="121">
        <v>0.0</v>
      </c>
      <c r="X120" s="245"/>
      <c r="Y120" s="166"/>
      <c r="Z120" s="166"/>
      <c r="AA120" s="166"/>
      <c r="AB120" s="166"/>
      <c r="AC120" s="166"/>
      <c r="AD120" s="166"/>
      <c r="AG120" s="121">
        <v>0.0</v>
      </c>
      <c r="AH120" s="245"/>
      <c r="AI120" s="166"/>
      <c r="AJ120" s="166"/>
      <c r="AK120" s="166"/>
      <c r="AL120" s="166"/>
      <c r="AM120" s="166"/>
      <c r="AN120" s="166"/>
      <c r="AP120" s="239"/>
      <c r="AQ120" s="3" t="str">
        <f>if(and(casterLevel&lt;&gt;"",casterLevel&gt;0),choose(casterLevel,"","","","","","",1,2,3,3,3,3,3,3,3,3,3,3,3,3),"")</f>
        <v/>
      </c>
      <c r="AR120" s="3"/>
      <c r="AS120" s="3"/>
      <c r="AT120" s="3"/>
      <c r="AU120" s="3"/>
      <c r="AV120" s="3"/>
      <c r="AW120" s="3"/>
      <c r="AX120" s="3"/>
      <c r="AY120" s="7"/>
      <c r="AZ120" s="2"/>
      <c r="BA120" s="2"/>
      <c r="BB120" s="2"/>
      <c r="BC120" s="2"/>
    </row>
    <row r="121" ht="15.75" customHeight="1">
      <c r="A121" s="239"/>
      <c r="E121" s="240"/>
      <c r="F121" s="240"/>
      <c r="I121" s="240"/>
      <c r="J121" s="240"/>
      <c r="L121" s="240"/>
      <c r="M121" s="121">
        <v>0.0</v>
      </c>
      <c r="N121" s="245"/>
      <c r="O121" s="166"/>
      <c r="P121" s="166"/>
      <c r="Q121" s="166"/>
      <c r="R121" s="166"/>
      <c r="S121" s="166"/>
      <c r="T121" s="166"/>
      <c r="W121" s="121">
        <v>0.0</v>
      </c>
      <c r="X121" s="245"/>
      <c r="Y121" s="166"/>
      <c r="Z121" s="166"/>
      <c r="AA121" s="166"/>
      <c r="AB121" s="166"/>
      <c r="AC121" s="166"/>
      <c r="AD121" s="166"/>
      <c r="AG121" s="121">
        <v>0.0</v>
      </c>
      <c r="AH121" s="245"/>
      <c r="AI121" s="166"/>
      <c r="AJ121" s="166"/>
      <c r="AK121" s="166"/>
      <c r="AL121" s="166"/>
      <c r="AM121" s="166"/>
      <c r="AN121" s="166"/>
      <c r="AP121" s="239"/>
      <c r="AQ121" s="3"/>
      <c r="AR121" s="3"/>
      <c r="AS121" s="3"/>
      <c r="AT121" s="3"/>
      <c r="AU121" s="3"/>
      <c r="AV121" s="3"/>
      <c r="AW121" s="3"/>
      <c r="AX121" s="3"/>
      <c r="AY121" s="7"/>
      <c r="AZ121" s="2"/>
      <c r="BA121" s="2"/>
      <c r="BB121" s="2"/>
      <c r="BC121" s="2"/>
    </row>
    <row r="122" ht="15.75" customHeight="1">
      <c r="A122" s="239"/>
      <c r="C122" s="249"/>
      <c r="D122" s="249"/>
      <c r="E122" s="249"/>
      <c r="F122" s="249"/>
      <c r="G122" s="249"/>
      <c r="H122" s="249"/>
      <c r="I122" s="249"/>
      <c r="J122" s="249"/>
      <c r="K122" s="249"/>
      <c r="L122" s="249"/>
      <c r="M122" s="249"/>
      <c r="N122" s="249"/>
      <c r="O122" s="249"/>
      <c r="P122" s="249"/>
      <c r="Q122" s="249"/>
      <c r="R122" s="249"/>
      <c r="S122" s="249"/>
      <c r="T122" s="249"/>
      <c r="U122" s="249"/>
      <c r="V122" s="249"/>
      <c r="W122" s="249"/>
      <c r="X122" s="249"/>
      <c r="Y122" s="249"/>
      <c r="Z122" s="249"/>
      <c r="AA122" s="249"/>
      <c r="AB122" s="249"/>
      <c r="AC122" s="249"/>
      <c r="AD122" s="249"/>
      <c r="AE122" s="249"/>
      <c r="AF122" s="249"/>
      <c r="AG122" s="249"/>
      <c r="AH122" s="249"/>
      <c r="AI122" s="249"/>
      <c r="AJ122" s="249"/>
      <c r="AK122" s="249"/>
      <c r="AL122" s="249"/>
      <c r="AM122" s="249"/>
      <c r="AN122" s="249"/>
      <c r="AP122" s="239"/>
      <c r="AQ122" s="3"/>
      <c r="AR122" s="3"/>
      <c r="AS122" s="3"/>
      <c r="AT122" s="3"/>
      <c r="AU122" s="3"/>
      <c r="AV122" s="3"/>
      <c r="AW122" s="3"/>
      <c r="AX122" s="3"/>
      <c r="AY122" s="7"/>
      <c r="AZ122" s="2"/>
      <c r="BA122" s="2"/>
      <c r="BB122" s="2"/>
      <c r="BC122" s="2"/>
    </row>
    <row r="123" ht="15.75" customHeight="1">
      <c r="A123" s="239"/>
      <c r="B123" s="239" t="str">
        <f>IMAGE("http://i.imgur.com/DhOsDAQ.png")</f>
        <v/>
      </c>
      <c r="C123" s="121">
        <v>0.0</v>
      </c>
      <c r="D123" s="245"/>
      <c r="E123" s="166"/>
      <c r="F123" s="166"/>
      <c r="G123" s="166"/>
      <c r="H123" s="166"/>
      <c r="I123" s="166"/>
      <c r="J123" s="166"/>
      <c r="K123" s="260" t="str">
        <f>IMAGE("http://i.imgur.com/1atTEws.png",3)</f>
        <v/>
      </c>
      <c r="M123" s="121">
        <v>0.0</v>
      </c>
      <c r="N123" s="245"/>
      <c r="O123" s="166"/>
      <c r="P123" s="166"/>
      <c r="Q123" s="166"/>
      <c r="R123" s="166"/>
      <c r="S123" s="166"/>
      <c r="T123" s="166"/>
      <c r="U123" s="260" t="str">
        <f>IMAGE("http://i.imgur.com/1atTEws.png",3)</f>
        <v/>
      </c>
      <c r="W123" s="121">
        <v>0.0</v>
      </c>
      <c r="X123" s="245"/>
      <c r="Y123" s="166"/>
      <c r="Z123" s="166"/>
      <c r="AA123" s="166"/>
      <c r="AB123" s="166"/>
      <c r="AC123" s="166"/>
      <c r="AD123" s="166"/>
      <c r="AE123" s="239"/>
      <c r="AF123" s="239" t="str">
        <f>IMAGE("http://i.imgur.com/4gaCjL0.png",2)</f>
        <v/>
      </c>
      <c r="AG123" s="258"/>
      <c r="AH123" s="258"/>
      <c r="AI123" s="239" t="str">
        <f>IMAGE("http://i.imgur.com/6jVSPeC.png",2)</f>
        <v/>
      </c>
      <c r="AK123" s="258"/>
      <c r="AL123" s="258"/>
      <c r="AM123" s="239" t="str">
        <f>IMAGE("http://i.imgur.com/lP8Znaf.png",2)</f>
        <v/>
      </c>
      <c r="AO123" s="239" t="str">
        <f>IMAGE("http://i.imgur.com/NNIwrh4.png",3)</f>
        <v/>
      </c>
      <c r="AP123" s="239"/>
      <c r="AQ123" s="3"/>
      <c r="AR123" s="3"/>
      <c r="AS123" s="3"/>
      <c r="AT123" s="3"/>
      <c r="AU123" s="3"/>
      <c r="AV123" s="3"/>
      <c r="AW123" s="3"/>
      <c r="AX123" s="3"/>
      <c r="AY123" s="7"/>
      <c r="AZ123" s="2"/>
      <c r="BA123" s="2"/>
      <c r="BB123" s="2"/>
      <c r="BC123" s="2"/>
    </row>
    <row r="124" ht="15.75" customHeight="1">
      <c r="A124" s="239"/>
      <c r="C124" s="121">
        <v>0.0</v>
      </c>
      <c r="D124" s="245"/>
      <c r="E124" s="166"/>
      <c r="F124" s="166"/>
      <c r="G124" s="166"/>
      <c r="H124" s="166"/>
      <c r="I124" s="166"/>
      <c r="J124" s="166"/>
      <c r="M124" s="121">
        <v>0.0</v>
      </c>
      <c r="N124" s="245"/>
      <c r="O124" s="166"/>
      <c r="P124" s="166"/>
      <c r="Q124" s="166"/>
      <c r="R124" s="166"/>
      <c r="S124" s="166"/>
      <c r="T124" s="166"/>
      <c r="W124" s="121">
        <v>0.0</v>
      </c>
      <c r="X124" s="245"/>
      <c r="Y124" s="166"/>
      <c r="Z124" s="166"/>
      <c r="AA124" s="166"/>
      <c r="AB124" s="166"/>
      <c r="AC124" s="166"/>
      <c r="AD124" s="166"/>
      <c r="AE124" s="239"/>
      <c r="AG124" s="236"/>
      <c r="AH124" s="25"/>
      <c r="AK124" s="256" t="str">
        <f>if(and($C$91&lt;&gt;"",sum(AQ124:AQ125)&gt;0),sum(AQ124:AQ125),"")</f>
        <v/>
      </c>
      <c r="AL124" s="25"/>
      <c r="AP124" s="239"/>
      <c r="AQ124" s="3" t="str">
        <f>IFERROR(__xludf.DUMMYFUNCTION("if(countif(AX6:AX15,""Pact Magic""),if(sum(filter($AT$6:$AT$22,$AX$6:$AX$22=""Pact Magic"")),choose(sum(filter($AT$6:$AT$22,$AX$6:$AX$22=""Pact Magic"")),"""","""","""","""","""","""","""","""",2,2,3,3,3,3,3,3,4,4,4,4),""""),"""")"),"")</f>
        <v/>
      </c>
      <c r="AR124" s="3"/>
      <c r="AS124" s="3"/>
      <c r="AT124" s="3"/>
      <c r="AU124" s="3"/>
      <c r="AV124" s="3"/>
      <c r="AW124" s="3"/>
      <c r="AX124" s="3"/>
      <c r="AY124" s="7"/>
      <c r="AZ124" s="2"/>
      <c r="BA124" s="2"/>
      <c r="BB124" s="2"/>
      <c r="BC124" s="2"/>
    </row>
    <row r="125" ht="15.75" customHeight="1">
      <c r="A125" s="239"/>
      <c r="C125" s="121">
        <v>0.0</v>
      </c>
      <c r="D125" s="245"/>
      <c r="E125" s="166"/>
      <c r="F125" s="166"/>
      <c r="G125" s="166"/>
      <c r="H125" s="166"/>
      <c r="I125" s="166"/>
      <c r="J125" s="166"/>
      <c r="M125" s="121">
        <v>0.0</v>
      </c>
      <c r="N125" s="245"/>
      <c r="O125" s="166"/>
      <c r="P125" s="166"/>
      <c r="Q125" s="166"/>
      <c r="R125" s="166"/>
      <c r="S125" s="166"/>
      <c r="T125" s="166"/>
      <c r="W125" s="121">
        <v>0.0</v>
      </c>
      <c r="X125" s="245"/>
      <c r="Y125" s="166"/>
      <c r="Z125" s="166"/>
      <c r="AA125" s="166"/>
      <c r="AB125" s="166"/>
      <c r="AC125" s="166"/>
      <c r="AD125" s="166"/>
      <c r="AE125" s="239"/>
      <c r="AG125" s="31"/>
      <c r="AH125" s="31"/>
      <c r="AK125" s="31"/>
      <c r="AL125" s="31"/>
      <c r="AP125" s="239"/>
      <c r="AQ125" s="3" t="str">
        <f>if(and(casterLevel&lt;&gt;"",casterLevel&gt;0),choose(casterLevel,"","","","","","","","",1,2,2,2,2,2,2,2,2,3,3,3),"")</f>
        <v/>
      </c>
      <c r="AR125" s="3"/>
      <c r="AS125" s="3"/>
      <c r="AT125" s="3"/>
      <c r="AU125" s="3"/>
      <c r="AV125" s="3"/>
      <c r="AW125" s="3"/>
      <c r="AX125" s="3"/>
      <c r="AY125" s="7"/>
      <c r="AZ125" s="2"/>
      <c r="BA125" s="2"/>
      <c r="BB125" s="2"/>
      <c r="BC125" s="2"/>
    </row>
    <row r="126" ht="15.75" customHeight="1">
      <c r="A126" s="239"/>
      <c r="C126" s="121">
        <v>0.0</v>
      </c>
      <c r="D126" s="245"/>
      <c r="E126" s="166"/>
      <c r="F126" s="166"/>
      <c r="G126" s="166"/>
      <c r="H126" s="166"/>
      <c r="I126" s="166"/>
      <c r="J126" s="166"/>
      <c r="M126" s="121">
        <v>0.0</v>
      </c>
      <c r="N126" s="245"/>
      <c r="O126" s="166"/>
      <c r="P126" s="166"/>
      <c r="Q126" s="166"/>
      <c r="R126" s="166"/>
      <c r="S126" s="166"/>
      <c r="T126" s="166"/>
      <c r="W126" s="121">
        <v>0.0</v>
      </c>
      <c r="X126" s="245"/>
      <c r="Y126" s="166"/>
      <c r="Z126" s="166"/>
      <c r="AA126" s="166"/>
      <c r="AB126" s="166"/>
      <c r="AC126" s="166"/>
      <c r="AD126" s="166"/>
      <c r="AE126" s="239"/>
      <c r="AG126" s="239"/>
      <c r="AH126" s="239"/>
      <c r="AK126" s="239"/>
      <c r="AL126" s="239"/>
      <c r="AP126" s="239"/>
      <c r="AQ126" s="3"/>
      <c r="AR126" s="3"/>
      <c r="AS126" s="3"/>
      <c r="AT126" s="3"/>
      <c r="AU126" s="3"/>
      <c r="AV126" s="3"/>
      <c r="AW126" s="3"/>
      <c r="AX126" s="3"/>
      <c r="AY126" s="7"/>
      <c r="AZ126" s="2"/>
      <c r="BA126" s="2"/>
      <c r="BB126" s="2"/>
      <c r="BC126" s="2"/>
    </row>
    <row r="127" ht="15.75" customHeight="1">
      <c r="A127" s="239"/>
      <c r="C127" s="261"/>
      <c r="D127" s="249"/>
      <c r="E127" s="249"/>
      <c r="F127" s="249"/>
      <c r="G127" s="249"/>
      <c r="H127" s="249"/>
      <c r="I127" s="249"/>
      <c r="J127" s="249"/>
      <c r="K127" s="249"/>
      <c r="L127" s="249"/>
      <c r="M127" s="249"/>
      <c r="N127" s="249"/>
      <c r="O127" s="249"/>
      <c r="P127" s="249"/>
      <c r="Q127" s="249"/>
      <c r="R127" s="249"/>
      <c r="S127" s="249"/>
      <c r="T127" s="249"/>
      <c r="U127" s="249"/>
      <c r="V127" s="249"/>
      <c r="W127" s="249"/>
      <c r="X127" s="249"/>
      <c r="Y127" s="249"/>
      <c r="Z127" s="249"/>
      <c r="AA127" s="249"/>
      <c r="AB127" s="249"/>
      <c r="AC127" s="249"/>
      <c r="AD127" s="249"/>
      <c r="AE127" s="249"/>
      <c r="AF127" s="249"/>
      <c r="AG127" s="249"/>
      <c r="AH127" s="249"/>
      <c r="AI127" s="249"/>
      <c r="AJ127" s="249"/>
      <c r="AK127" s="249"/>
      <c r="AL127" s="249"/>
      <c r="AM127" s="249"/>
      <c r="AN127" s="249"/>
      <c r="AP127" s="239"/>
      <c r="AQ127" s="3"/>
      <c r="AR127" s="3"/>
      <c r="AS127" s="3"/>
      <c r="AT127" s="3"/>
      <c r="AU127" s="3"/>
      <c r="AV127" s="3"/>
      <c r="AW127" s="3"/>
      <c r="AX127" s="3"/>
      <c r="AY127" s="3"/>
      <c r="AZ127" s="3"/>
      <c r="BA127" s="3"/>
      <c r="BB127" s="3"/>
      <c r="BC127" s="3"/>
    </row>
    <row r="128" ht="15.75" customHeight="1">
      <c r="A128" s="239"/>
      <c r="B128" s="239" t="str">
        <f>IMAGE("http://i.imgur.com/DhOsDAQ.png")</f>
        <v/>
      </c>
      <c r="C128" s="254" t="str">
        <f>IMAGE("http://i.imgur.com/NJZrETt.png",2)</f>
        <v/>
      </c>
      <c r="E128" s="258"/>
      <c r="G128" s="255" t="str">
        <f>IMAGE("http://i.imgur.com/4ww92Ws.png",2)</f>
        <v/>
      </c>
      <c r="I128" s="258"/>
      <c r="K128" s="240" t="str">
        <f>IMAGE("http://i.imgur.com/GYlWKEy.png",2)</f>
        <v/>
      </c>
      <c r="L128" s="240"/>
      <c r="M128" s="121">
        <v>0.0</v>
      </c>
      <c r="N128" s="245"/>
      <c r="O128" s="166"/>
      <c r="P128" s="166"/>
      <c r="Q128" s="166"/>
      <c r="R128" s="166"/>
      <c r="S128" s="166"/>
      <c r="T128" s="166"/>
      <c r="U128" s="260" t="str">
        <f>IMAGE("http://i.imgur.com/1atTEws.png",3)</f>
        <v/>
      </c>
      <c r="W128" s="121">
        <v>0.0</v>
      </c>
      <c r="X128" s="245"/>
      <c r="Y128" s="166"/>
      <c r="Z128" s="166"/>
      <c r="AA128" s="166"/>
      <c r="AB128" s="166"/>
      <c r="AC128" s="166"/>
      <c r="AD128" s="166"/>
      <c r="AE128" s="260" t="str">
        <f>IMAGE("http://i.imgur.com/1atTEws.png",3)</f>
        <v/>
      </c>
      <c r="AG128" s="121">
        <v>0.0</v>
      </c>
      <c r="AH128" s="245"/>
      <c r="AI128" s="166"/>
      <c r="AJ128" s="166"/>
      <c r="AK128" s="166"/>
      <c r="AL128" s="166"/>
      <c r="AM128" s="166"/>
      <c r="AN128" s="166"/>
      <c r="AO128" s="239" t="str">
        <f>IMAGE("http://i.imgur.com/NNIwrh4.png",3)</f>
        <v/>
      </c>
      <c r="AP128" s="239"/>
      <c r="AQ128" s="3"/>
      <c r="AR128" s="3"/>
      <c r="AS128" s="3"/>
      <c r="AT128" s="3"/>
      <c r="AU128" s="3"/>
      <c r="AV128" s="3"/>
      <c r="AW128" s="3"/>
      <c r="AX128" s="3"/>
      <c r="AY128" s="3"/>
      <c r="AZ128" s="3"/>
      <c r="BA128" s="3"/>
      <c r="BB128" s="3"/>
      <c r="BC128" s="3"/>
    </row>
    <row r="129" ht="15.75" customHeight="1">
      <c r="A129" s="239"/>
      <c r="E129" s="256" t="str">
        <f>if(and(C$91&lt;&gt;"",casterLevel&lt;&gt;"",casterLevel&gt;0),choose(casterLevel,"","","","","","","","","","",1,1,1,1,1,1,1,1,2,2),"")</f>
        <v/>
      </c>
      <c r="F129" s="25"/>
      <c r="I129" s="236"/>
      <c r="J129" s="25"/>
      <c r="L129" s="240"/>
      <c r="M129" s="121">
        <v>0.0</v>
      </c>
      <c r="N129" s="245"/>
      <c r="O129" s="166"/>
      <c r="P129" s="166"/>
      <c r="Q129" s="166"/>
      <c r="R129" s="166"/>
      <c r="S129" s="166"/>
      <c r="T129" s="166"/>
      <c r="W129" s="121">
        <v>0.0</v>
      </c>
      <c r="X129" s="245"/>
      <c r="Y129" s="166"/>
      <c r="Z129" s="166"/>
      <c r="AA129" s="166"/>
      <c r="AB129" s="166"/>
      <c r="AC129" s="166"/>
      <c r="AD129" s="166"/>
      <c r="AG129" s="121">
        <v>0.0</v>
      </c>
      <c r="AH129" s="245"/>
      <c r="AI129" s="166"/>
      <c r="AJ129" s="166"/>
      <c r="AK129" s="166"/>
      <c r="AL129" s="166"/>
      <c r="AM129" s="166"/>
      <c r="AN129" s="166"/>
      <c r="AP129" s="239"/>
      <c r="AQ129" s="3"/>
      <c r="AR129" s="3"/>
      <c r="AS129" s="3"/>
      <c r="AT129" s="3"/>
      <c r="AU129" s="3"/>
      <c r="AV129" s="3"/>
      <c r="AW129" s="3"/>
      <c r="AX129" s="3"/>
      <c r="AY129" s="3"/>
      <c r="AZ129" s="3"/>
      <c r="BA129" s="3"/>
      <c r="BB129" s="3"/>
      <c r="BC129" s="3"/>
    </row>
    <row r="130" ht="15.75" customHeight="1">
      <c r="A130" s="239"/>
      <c r="E130" s="31"/>
      <c r="F130" s="31"/>
      <c r="I130" s="31"/>
      <c r="J130" s="31"/>
      <c r="L130" s="240"/>
      <c r="M130" s="121">
        <v>0.0</v>
      </c>
      <c r="N130" s="245"/>
      <c r="O130" s="166"/>
      <c r="P130" s="166"/>
      <c r="Q130" s="166"/>
      <c r="R130" s="166"/>
      <c r="S130" s="166"/>
      <c r="T130" s="166"/>
      <c r="W130" s="121">
        <v>0.0</v>
      </c>
      <c r="X130" s="245"/>
      <c r="Y130" s="166"/>
      <c r="Z130" s="166"/>
      <c r="AA130" s="166"/>
      <c r="AB130" s="166"/>
      <c r="AC130" s="166"/>
      <c r="AD130" s="166"/>
      <c r="AG130" s="121">
        <v>0.0</v>
      </c>
      <c r="AH130" s="245"/>
      <c r="AI130" s="166"/>
      <c r="AJ130" s="166"/>
      <c r="AK130" s="166"/>
      <c r="AL130" s="166"/>
      <c r="AM130" s="166"/>
      <c r="AN130" s="166"/>
      <c r="AP130" s="239"/>
      <c r="AQ130" s="3"/>
      <c r="AR130" s="3"/>
      <c r="AS130" s="3"/>
      <c r="AT130" s="3"/>
      <c r="AU130" s="3"/>
      <c r="AV130" s="3"/>
      <c r="AW130" s="3"/>
      <c r="AX130" s="3"/>
      <c r="AY130" s="3"/>
      <c r="AZ130" s="3"/>
      <c r="BA130" s="3"/>
      <c r="BB130" s="3"/>
      <c r="BC130" s="3"/>
    </row>
    <row r="131" ht="15.75" customHeight="1">
      <c r="A131" s="239"/>
      <c r="E131" s="240"/>
      <c r="F131" s="240"/>
      <c r="I131" s="240"/>
      <c r="J131" s="240"/>
      <c r="L131" s="240"/>
      <c r="M131" s="121">
        <v>0.0</v>
      </c>
      <c r="N131" s="245"/>
      <c r="O131" s="166"/>
      <c r="P131" s="166"/>
      <c r="Q131" s="166"/>
      <c r="R131" s="166"/>
      <c r="S131" s="166"/>
      <c r="T131" s="166"/>
      <c r="W131" s="121">
        <v>0.0</v>
      </c>
      <c r="X131" s="245"/>
      <c r="Y131" s="166"/>
      <c r="Z131" s="166"/>
      <c r="AA131" s="166"/>
      <c r="AB131" s="166"/>
      <c r="AC131" s="166"/>
      <c r="AD131" s="166"/>
      <c r="AG131" s="121">
        <v>0.0</v>
      </c>
      <c r="AH131" s="245"/>
      <c r="AI131" s="166"/>
      <c r="AJ131" s="166"/>
      <c r="AK131" s="166"/>
      <c r="AL131" s="166"/>
      <c r="AM131" s="166"/>
      <c r="AN131" s="166"/>
      <c r="AP131" s="239"/>
      <c r="AQ131" s="3"/>
      <c r="AR131" s="3"/>
      <c r="AS131" s="3"/>
      <c r="AT131" s="3"/>
      <c r="AU131" s="3"/>
      <c r="AV131" s="3"/>
      <c r="AW131" s="3"/>
      <c r="AX131" s="3"/>
      <c r="AY131" s="3"/>
      <c r="AZ131" s="3"/>
      <c r="BA131" s="3"/>
      <c r="BB131" s="3"/>
      <c r="BC131" s="3"/>
    </row>
    <row r="132" ht="15.75" customHeight="1">
      <c r="A132" s="239"/>
      <c r="C132" s="261"/>
      <c r="D132" s="249"/>
      <c r="E132" s="249"/>
      <c r="F132" s="249"/>
      <c r="G132" s="249"/>
      <c r="H132" s="249"/>
      <c r="I132" s="249"/>
      <c r="J132" s="249"/>
      <c r="K132" s="249"/>
      <c r="L132" s="249"/>
      <c r="M132" s="249"/>
      <c r="N132" s="249"/>
      <c r="O132" s="249"/>
      <c r="P132" s="249"/>
      <c r="Q132" s="249"/>
      <c r="R132" s="249"/>
      <c r="S132" s="249"/>
      <c r="T132" s="249"/>
      <c r="U132" s="249"/>
      <c r="V132" s="249"/>
      <c r="W132" s="249"/>
      <c r="X132" s="249"/>
      <c r="Y132" s="249"/>
      <c r="Z132" s="249"/>
      <c r="AA132" s="249"/>
      <c r="AB132" s="249"/>
      <c r="AC132" s="249"/>
      <c r="AD132" s="249"/>
      <c r="AE132" s="249"/>
      <c r="AF132" s="249"/>
      <c r="AG132" s="249"/>
      <c r="AH132" s="249"/>
      <c r="AI132" s="249"/>
      <c r="AJ132" s="249"/>
      <c r="AK132" s="249"/>
      <c r="AL132" s="249"/>
      <c r="AM132" s="249"/>
      <c r="AN132" s="249"/>
      <c r="AP132" s="239"/>
      <c r="AQ132" s="3"/>
      <c r="AR132" s="3"/>
      <c r="AS132" s="3"/>
      <c r="AT132" s="3"/>
      <c r="AU132" s="3"/>
      <c r="AV132" s="3"/>
      <c r="AW132" s="3"/>
      <c r="AX132" s="3"/>
      <c r="AY132" s="3"/>
      <c r="AZ132" s="3"/>
      <c r="BA132" s="3"/>
      <c r="BB132" s="3"/>
      <c r="BC132" s="3"/>
    </row>
    <row r="133" ht="15.75" customHeight="1">
      <c r="A133" s="239"/>
      <c r="B133" s="239" t="str">
        <f>IMAGE("http://i.imgur.com/BMbfOFs.png")</f>
        <v/>
      </c>
      <c r="C133" s="121">
        <v>0.0</v>
      </c>
      <c r="D133" s="245"/>
      <c r="E133" s="166"/>
      <c r="F133" s="166"/>
      <c r="G133" s="166"/>
      <c r="H133" s="166"/>
      <c r="I133" s="166"/>
      <c r="J133" s="166"/>
      <c r="K133" s="250" t="str">
        <f>IMAGE("http://i.imgur.com/1atTEws.png",3)</f>
        <v/>
      </c>
      <c r="M133" s="121">
        <v>0.0</v>
      </c>
      <c r="N133" s="245"/>
      <c r="O133" s="166"/>
      <c r="P133" s="166"/>
      <c r="Q133" s="166"/>
      <c r="R133" s="166"/>
      <c r="S133" s="166"/>
      <c r="T133" s="166"/>
      <c r="U133" s="250" t="str">
        <f>IMAGE("http://i.imgur.com/1atTEws.png",3)</f>
        <v/>
      </c>
      <c r="W133" s="121">
        <v>0.0</v>
      </c>
      <c r="X133" s="245"/>
      <c r="Y133" s="166"/>
      <c r="Z133" s="166"/>
      <c r="AA133" s="166"/>
      <c r="AB133" s="166"/>
      <c r="AC133" s="166"/>
      <c r="AD133" s="166"/>
      <c r="AE133" s="239"/>
      <c r="AF133" s="239" t="str">
        <f>IMAGE("http://i.imgur.com/4gaCjL0.png",2)</f>
        <v/>
      </c>
      <c r="AG133" s="258"/>
      <c r="AH133" s="258"/>
      <c r="AI133" s="239" t="str">
        <f>IMAGE("http://i.imgur.com/6jVSPeC.png",2)</f>
        <v/>
      </c>
      <c r="AK133" s="258"/>
      <c r="AL133" s="258"/>
      <c r="AM133" s="239" t="str">
        <f>IMAGE("http://i.imgur.com/OR783hS.png",2)</f>
        <v/>
      </c>
      <c r="AO133" s="239" t="str">
        <f>IMAGE("http://i.imgur.com/Pb1Q0X9.png")</f>
        <v/>
      </c>
      <c r="AP133" s="239"/>
      <c r="AQ133" s="3"/>
      <c r="AR133" s="3"/>
      <c r="AS133" s="3"/>
      <c r="AT133" s="3"/>
      <c r="AU133" s="3"/>
      <c r="AV133" s="3"/>
      <c r="AW133" s="3"/>
      <c r="AX133" s="3"/>
      <c r="AY133" s="3"/>
      <c r="AZ133" s="3"/>
      <c r="BA133" s="3"/>
      <c r="BB133" s="3"/>
      <c r="BC133" s="3"/>
    </row>
    <row r="134" ht="15.75" customHeight="1">
      <c r="A134" s="239"/>
      <c r="C134" s="121">
        <v>0.0</v>
      </c>
      <c r="D134" s="245"/>
      <c r="E134" s="166"/>
      <c r="F134" s="166"/>
      <c r="G134" s="166"/>
      <c r="H134" s="166"/>
      <c r="I134" s="166"/>
      <c r="J134" s="166"/>
      <c r="M134" s="121">
        <v>0.0</v>
      </c>
      <c r="N134" s="245"/>
      <c r="O134" s="166"/>
      <c r="P134" s="166"/>
      <c r="Q134" s="166"/>
      <c r="R134" s="166"/>
      <c r="S134" s="166"/>
      <c r="T134" s="166"/>
      <c r="W134" s="121">
        <v>0.0</v>
      </c>
      <c r="X134" s="245"/>
      <c r="Y134" s="166"/>
      <c r="Z134" s="166"/>
      <c r="AA134" s="166"/>
      <c r="AB134" s="166"/>
      <c r="AC134" s="166"/>
      <c r="AD134" s="166"/>
      <c r="AE134" s="239"/>
      <c r="AG134" s="236"/>
      <c r="AH134" s="25"/>
      <c r="AK134" s="256" t="str">
        <f>if(and(C$91&lt;&gt;"",casterLevel&lt;&gt;"",casterLevel&gt;0),choose(casterLevel,"","","","","","","","","","","","",1,1,1,1,1,1,1,2),"")</f>
        <v/>
      </c>
      <c r="AL134" s="25"/>
      <c r="AP134" s="239"/>
      <c r="AQ134" s="3"/>
      <c r="AR134" s="3"/>
      <c r="AS134" s="3"/>
      <c r="AT134" s="3"/>
      <c r="AU134" s="3"/>
      <c r="AV134" s="3"/>
      <c r="AW134" s="3"/>
      <c r="AX134" s="3"/>
      <c r="AY134" s="3"/>
      <c r="AZ134" s="3"/>
      <c r="BA134" s="3"/>
      <c r="BB134" s="3"/>
      <c r="BC134" s="3"/>
    </row>
    <row r="135" ht="15.75" customHeight="1">
      <c r="A135" s="239"/>
      <c r="C135" s="121">
        <v>0.0</v>
      </c>
      <c r="D135" s="245"/>
      <c r="E135" s="166"/>
      <c r="F135" s="166"/>
      <c r="G135" s="166"/>
      <c r="H135" s="166"/>
      <c r="I135" s="166"/>
      <c r="J135" s="166"/>
      <c r="M135" s="121">
        <v>0.0</v>
      </c>
      <c r="N135" s="245"/>
      <c r="O135" s="166"/>
      <c r="P135" s="166"/>
      <c r="Q135" s="166"/>
      <c r="R135" s="166"/>
      <c r="S135" s="166"/>
      <c r="T135" s="166"/>
      <c r="W135" s="121">
        <v>0.0</v>
      </c>
      <c r="X135" s="245"/>
      <c r="Y135" s="166"/>
      <c r="Z135" s="166"/>
      <c r="AA135" s="166"/>
      <c r="AB135" s="166"/>
      <c r="AC135" s="166"/>
      <c r="AD135" s="166"/>
      <c r="AE135" s="239"/>
      <c r="AG135" s="31"/>
      <c r="AH135" s="31"/>
      <c r="AK135" s="31"/>
      <c r="AL135" s="31"/>
      <c r="AP135" s="239"/>
      <c r="AQ135" s="3"/>
      <c r="AR135" s="3"/>
      <c r="AS135" s="3"/>
      <c r="AT135" s="3"/>
      <c r="AU135" s="3"/>
      <c r="AV135" s="3"/>
      <c r="AW135" s="3"/>
      <c r="AX135" s="3"/>
      <c r="AY135" s="3"/>
      <c r="AZ135" s="3"/>
      <c r="BA135" s="3"/>
      <c r="BB135" s="3"/>
      <c r="BC135" s="3"/>
    </row>
    <row r="136" ht="15.75" customHeight="1">
      <c r="A136" s="239"/>
      <c r="C136" s="262"/>
      <c r="D136" s="262"/>
      <c r="E136" s="262"/>
      <c r="F136" s="262"/>
      <c r="G136" s="262"/>
      <c r="H136" s="262"/>
      <c r="I136" s="262"/>
      <c r="J136" s="262"/>
      <c r="K136" s="262"/>
      <c r="L136" s="262"/>
      <c r="M136" s="262"/>
      <c r="N136" s="262"/>
      <c r="O136" s="262"/>
      <c r="P136" s="262"/>
      <c r="Q136" s="262"/>
      <c r="R136" s="262"/>
      <c r="S136" s="262"/>
      <c r="T136" s="262"/>
      <c r="U136" s="262"/>
      <c r="V136" s="262"/>
      <c r="W136" s="262"/>
      <c r="X136" s="262"/>
      <c r="Y136" s="262"/>
      <c r="Z136" s="262"/>
      <c r="AA136" s="262"/>
      <c r="AB136" s="262"/>
      <c r="AC136" s="262"/>
      <c r="AD136" s="262"/>
      <c r="AE136" s="262"/>
      <c r="AF136" s="166"/>
      <c r="AG136" s="261"/>
      <c r="AH136" s="261"/>
      <c r="AI136" s="166"/>
      <c r="AJ136" s="166"/>
      <c r="AK136" s="261"/>
      <c r="AL136" s="261"/>
      <c r="AM136" s="166"/>
      <c r="AN136" s="166"/>
      <c r="AP136" s="239"/>
      <c r="AQ136" s="3"/>
      <c r="AR136" s="3"/>
      <c r="AS136" s="3"/>
      <c r="AT136" s="3"/>
      <c r="AU136" s="3"/>
      <c r="AV136" s="3"/>
      <c r="AW136" s="3"/>
      <c r="AX136" s="3"/>
      <c r="AY136" s="3"/>
      <c r="AZ136" s="3"/>
      <c r="BA136" s="3"/>
      <c r="BB136" s="3"/>
      <c r="BC136" s="3"/>
    </row>
    <row r="137" ht="15.75" customHeight="1">
      <c r="A137" s="239"/>
      <c r="B137" s="239" t="str">
        <f>IMAGE("http://i.imgur.com/BMbfOFs.png")</f>
        <v/>
      </c>
      <c r="C137" s="254" t="str">
        <f>IMAGE("http://i.imgur.com/L1yfsX1.png",2)</f>
        <v/>
      </c>
      <c r="E137" s="258"/>
      <c r="G137" s="255" t="str">
        <f>IMAGE("http://i.imgur.com/4ww92Ws.png",2)</f>
        <v/>
      </c>
      <c r="I137" s="258"/>
      <c r="K137" s="240" t="str">
        <f>IMAGE("http://i.imgur.com/GYlWKEy.png",2)</f>
        <v/>
      </c>
      <c r="L137" s="240"/>
      <c r="M137" s="121">
        <v>0.0</v>
      </c>
      <c r="N137" s="245"/>
      <c r="O137" s="166"/>
      <c r="P137" s="166"/>
      <c r="Q137" s="166"/>
      <c r="R137" s="166"/>
      <c r="S137" s="166"/>
      <c r="T137" s="166"/>
      <c r="U137" s="250" t="str">
        <f>IMAGE("http://i.imgur.com/1atTEws.png",3)</f>
        <v/>
      </c>
      <c r="W137" s="121">
        <v>0.0</v>
      </c>
      <c r="X137" s="245"/>
      <c r="Y137" s="166"/>
      <c r="Z137" s="166"/>
      <c r="AA137" s="166"/>
      <c r="AB137" s="166"/>
      <c r="AC137" s="166"/>
      <c r="AD137" s="166"/>
      <c r="AE137" s="250" t="str">
        <f>IMAGE("http://i.imgur.com/1atTEws.png",3)</f>
        <v/>
      </c>
      <c r="AG137" s="121">
        <v>0.0</v>
      </c>
      <c r="AH137" s="245"/>
      <c r="AI137" s="166"/>
      <c r="AJ137" s="166"/>
      <c r="AK137" s="166"/>
      <c r="AL137" s="166"/>
      <c r="AM137" s="166"/>
      <c r="AN137" s="166"/>
      <c r="AO137" s="239" t="str">
        <f>IMAGE("http://i.imgur.com/Pb1Q0X9.png")</f>
        <v/>
      </c>
      <c r="AP137" s="239"/>
      <c r="AQ137" s="3"/>
      <c r="AR137" s="3"/>
      <c r="AS137" s="3"/>
      <c r="AT137" s="3"/>
      <c r="AU137" s="3"/>
      <c r="AV137" s="3"/>
      <c r="AW137" s="3"/>
      <c r="AX137" s="3"/>
      <c r="AY137" s="3"/>
      <c r="AZ137" s="3"/>
      <c r="BA137" s="3"/>
      <c r="BB137" s="3"/>
      <c r="BC137" s="3"/>
    </row>
    <row r="138" ht="15.75" customHeight="1">
      <c r="A138" s="239"/>
      <c r="E138" s="256" t="str">
        <f>if(and(C$91&lt;&gt;"",casterLevel&lt;&gt;"",casterLevel&gt;0),choose(casterLevel,"","","","","","","","","","","","","","",1,1,1,1,1,1),"")</f>
        <v/>
      </c>
      <c r="F138" s="25"/>
      <c r="I138" s="236"/>
      <c r="J138" s="25"/>
      <c r="L138" s="240"/>
      <c r="M138" s="121">
        <v>0.0</v>
      </c>
      <c r="N138" s="245"/>
      <c r="O138" s="166"/>
      <c r="P138" s="166"/>
      <c r="Q138" s="166"/>
      <c r="R138" s="166"/>
      <c r="S138" s="166"/>
      <c r="T138" s="166"/>
      <c r="W138" s="121">
        <v>0.0</v>
      </c>
      <c r="X138" s="245"/>
      <c r="Y138" s="166"/>
      <c r="Z138" s="166"/>
      <c r="AA138" s="166"/>
      <c r="AB138" s="166"/>
      <c r="AC138" s="166"/>
      <c r="AD138" s="166"/>
      <c r="AG138" s="121">
        <v>0.0</v>
      </c>
      <c r="AH138" s="245"/>
      <c r="AI138" s="166"/>
      <c r="AJ138" s="166"/>
      <c r="AK138" s="166"/>
      <c r="AL138" s="166"/>
      <c r="AM138" s="166"/>
      <c r="AN138" s="166"/>
      <c r="AP138" s="239"/>
      <c r="AQ138" s="3"/>
      <c r="AR138" s="3"/>
      <c r="AS138" s="3"/>
      <c r="AT138" s="3"/>
      <c r="AU138" s="3"/>
      <c r="AV138" s="3"/>
      <c r="AW138" s="3"/>
      <c r="AX138" s="3"/>
      <c r="AY138" s="3"/>
      <c r="AZ138" s="3"/>
      <c r="BA138" s="3"/>
      <c r="BB138" s="3"/>
      <c r="BC138" s="3"/>
    </row>
    <row r="139" ht="15.75" customHeight="1">
      <c r="A139" s="239"/>
      <c r="E139" s="31"/>
      <c r="F139" s="31"/>
      <c r="I139" s="31"/>
      <c r="J139" s="31"/>
      <c r="L139" s="240"/>
      <c r="M139" s="121">
        <v>0.0</v>
      </c>
      <c r="N139" s="245"/>
      <c r="O139" s="166"/>
      <c r="P139" s="166"/>
      <c r="Q139" s="166"/>
      <c r="R139" s="166"/>
      <c r="S139" s="166"/>
      <c r="T139" s="166"/>
      <c r="W139" s="121">
        <v>0.0</v>
      </c>
      <c r="X139" s="245"/>
      <c r="Y139" s="166"/>
      <c r="Z139" s="166"/>
      <c r="AA139" s="166"/>
      <c r="AB139" s="166"/>
      <c r="AC139" s="166"/>
      <c r="AD139" s="166"/>
      <c r="AG139" s="121">
        <v>0.0</v>
      </c>
      <c r="AH139" s="245"/>
      <c r="AI139" s="166"/>
      <c r="AJ139" s="166"/>
      <c r="AK139" s="166"/>
      <c r="AL139" s="166"/>
      <c r="AM139" s="166"/>
      <c r="AN139" s="166"/>
      <c r="AP139" s="239"/>
      <c r="AQ139" s="3"/>
      <c r="AR139" s="3"/>
      <c r="AS139" s="3"/>
      <c r="AT139" s="3"/>
      <c r="AU139" s="3"/>
      <c r="AV139" s="3"/>
      <c r="AW139" s="3"/>
      <c r="AX139" s="3"/>
      <c r="AY139" s="3"/>
      <c r="AZ139" s="3"/>
      <c r="BA139" s="3"/>
      <c r="BB139" s="3"/>
      <c r="BC139" s="3"/>
    </row>
    <row r="140" ht="15.75" customHeight="1">
      <c r="A140" s="239"/>
      <c r="C140" s="166"/>
      <c r="D140" s="166"/>
      <c r="E140" s="248"/>
      <c r="F140" s="248"/>
      <c r="G140" s="166"/>
      <c r="H140" s="166"/>
      <c r="I140" s="248"/>
      <c r="J140" s="248"/>
      <c r="K140" s="166"/>
      <c r="L140" s="262"/>
      <c r="M140" s="262"/>
      <c r="N140" s="262"/>
      <c r="O140" s="262"/>
      <c r="P140" s="262"/>
      <c r="Q140" s="262"/>
      <c r="R140" s="262"/>
      <c r="S140" s="262"/>
      <c r="T140" s="262"/>
      <c r="U140" s="262"/>
      <c r="V140" s="262"/>
      <c r="W140" s="262"/>
      <c r="X140" s="262"/>
      <c r="Y140" s="262"/>
      <c r="Z140" s="262"/>
      <c r="AA140" s="262"/>
      <c r="AB140" s="262"/>
      <c r="AC140" s="262"/>
      <c r="AD140" s="262"/>
      <c r="AE140" s="262"/>
      <c r="AF140" s="262"/>
      <c r="AG140" s="262"/>
      <c r="AH140" s="262"/>
      <c r="AI140" s="262"/>
      <c r="AJ140" s="262"/>
      <c r="AK140" s="262"/>
      <c r="AL140" s="262"/>
      <c r="AM140" s="262"/>
      <c r="AN140" s="262"/>
      <c r="AP140" s="239"/>
      <c r="AQ140" s="3"/>
      <c r="AR140" s="3"/>
      <c r="AS140" s="3"/>
      <c r="AT140" s="3"/>
      <c r="AU140" s="3"/>
      <c r="AV140" s="3"/>
      <c r="AW140" s="3"/>
      <c r="AX140" s="3"/>
      <c r="AY140" s="3"/>
      <c r="AZ140" s="3"/>
      <c r="BA140" s="3"/>
      <c r="BB140" s="3"/>
      <c r="BC140" s="3"/>
    </row>
    <row r="141" ht="15.75" customHeight="1">
      <c r="A141" s="239"/>
      <c r="B141" s="239" t="str">
        <f>IMAGE("http://i.imgur.com/BMbfOFs.png")</f>
        <v/>
      </c>
      <c r="C141" s="121">
        <v>0.0</v>
      </c>
      <c r="D141" s="245"/>
      <c r="E141" s="166"/>
      <c r="F141" s="166"/>
      <c r="G141" s="166"/>
      <c r="H141" s="166"/>
      <c r="I141" s="166"/>
      <c r="J141" s="166"/>
      <c r="K141" s="250" t="str">
        <f>IMAGE("http://i.imgur.com/1atTEws.png",3)</f>
        <v/>
      </c>
      <c r="M141" s="121">
        <v>0.0</v>
      </c>
      <c r="N141" s="245"/>
      <c r="O141" s="166"/>
      <c r="P141" s="166"/>
      <c r="Q141" s="166"/>
      <c r="R141" s="166"/>
      <c r="S141" s="166"/>
      <c r="T141" s="166"/>
      <c r="U141" s="250" t="str">
        <f>IMAGE("http://i.imgur.com/1atTEws.png",3)</f>
        <v/>
      </c>
      <c r="W141" s="121">
        <v>0.0</v>
      </c>
      <c r="X141" s="245"/>
      <c r="Y141" s="166"/>
      <c r="Z141" s="166"/>
      <c r="AA141" s="166"/>
      <c r="AB141" s="166"/>
      <c r="AC141" s="166"/>
      <c r="AD141" s="166"/>
      <c r="AE141" s="239"/>
      <c r="AF141" s="239" t="str">
        <f>IMAGE("http://i.imgur.com/4gaCjL0.png",2)</f>
        <v/>
      </c>
      <c r="AG141" s="258"/>
      <c r="AH141" s="258"/>
      <c r="AI141" s="239" t="str">
        <f>IMAGE("http://i.imgur.com/6jVSPeC.png",2)</f>
        <v/>
      </c>
      <c r="AK141" s="258"/>
      <c r="AL141" s="258"/>
      <c r="AM141" s="239" t="str">
        <f>IMAGE("http://i.imgur.com/xud2MwT.png",2)</f>
        <v/>
      </c>
      <c r="AO141" s="239" t="str">
        <f>IMAGE("http://i.imgur.com/Pb1Q0X9.png")</f>
        <v/>
      </c>
      <c r="AP141" s="239"/>
      <c r="AQ141" s="3"/>
      <c r="AR141" s="3"/>
      <c r="AS141" s="3"/>
      <c r="AT141" s="3"/>
      <c r="AU141" s="3"/>
      <c r="AV141" s="3"/>
      <c r="AW141" s="3"/>
      <c r="AX141" s="3"/>
      <c r="AY141" s="3"/>
      <c r="AZ141" s="3"/>
      <c r="BA141" s="3"/>
      <c r="BB141" s="3"/>
      <c r="BC141" s="3"/>
    </row>
    <row r="142" ht="15.75" customHeight="1">
      <c r="A142" s="239"/>
      <c r="C142" s="121">
        <v>0.0</v>
      </c>
      <c r="D142" s="245"/>
      <c r="E142" s="166"/>
      <c r="F142" s="166"/>
      <c r="G142" s="166"/>
      <c r="H142" s="166"/>
      <c r="I142" s="166"/>
      <c r="J142" s="166"/>
      <c r="M142" s="121">
        <v>0.0</v>
      </c>
      <c r="N142" s="245"/>
      <c r="O142" s="166"/>
      <c r="P142" s="166"/>
      <c r="Q142" s="166"/>
      <c r="R142" s="166"/>
      <c r="S142" s="166"/>
      <c r="T142" s="166"/>
      <c r="W142" s="121">
        <v>0.0</v>
      </c>
      <c r="X142" s="245"/>
      <c r="Y142" s="166"/>
      <c r="Z142" s="166"/>
      <c r="AA142" s="166"/>
      <c r="AB142" s="166"/>
      <c r="AC142" s="166"/>
      <c r="AD142" s="166"/>
      <c r="AE142" s="239"/>
      <c r="AG142" s="236"/>
      <c r="AH142" s="25"/>
      <c r="AK142" s="256" t="str">
        <f>if(and(C$91&lt;&gt;"",casterLevel&lt;&gt;"",casterLevel&gt;0),choose(casterLevel,"","","","","","","","","","","","","","","","",1,1,1,1),"")</f>
        <v/>
      </c>
      <c r="AL142" s="25"/>
      <c r="AP142" s="239"/>
      <c r="AQ142" s="3"/>
      <c r="AR142" s="3"/>
      <c r="AS142" s="3"/>
      <c r="AT142" s="3"/>
      <c r="AU142" s="3"/>
      <c r="AV142" s="3"/>
      <c r="AW142" s="3"/>
      <c r="AX142" s="3"/>
      <c r="AY142" s="3"/>
      <c r="AZ142" s="3"/>
      <c r="BA142" s="3"/>
      <c r="BB142" s="3"/>
      <c r="BC142" s="3"/>
    </row>
    <row r="143" ht="15.75" customHeight="1">
      <c r="A143" s="239"/>
      <c r="C143" s="121">
        <v>0.0</v>
      </c>
      <c r="D143" s="245"/>
      <c r="E143" s="166"/>
      <c r="F143" s="166"/>
      <c r="G143" s="166"/>
      <c r="H143" s="166"/>
      <c r="I143" s="166"/>
      <c r="J143" s="166"/>
      <c r="M143" s="121">
        <v>0.0</v>
      </c>
      <c r="N143" s="245"/>
      <c r="O143" s="166"/>
      <c r="P143" s="166"/>
      <c r="Q143" s="166"/>
      <c r="R143" s="166"/>
      <c r="S143" s="166"/>
      <c r="T143" s="166"/>
      <c r="W143" s="121">
        <v>0.0</v>
      </c>
      <c r="X143" s="245"/>
      <c r="Y143" s="166"/>
      <c r="Z143" s="166"/>
      <c r="AA143" s="166"/>
      <c r="AB143" s="166"/>
      <c r="AC143" s="166"/>
      <c r="AD143" s="166"/>
      <c r="AE143" s="239"/>
      <c r="AG143" s="31"/>
      <c r="AH143" s="31"/>
      <c r="AK143" s="31"/>
      <c r="AL143" s="31"/>
      <c r="AP143" s="239"/>
      <c r="AQ143" s="3"/>
      <c r="AR143" s="3"/>
      <c r="AS143" s="3"/>
      <c r="AT143" s="3"/>
      <c r="AU143" s="3"/>
      <c r="AV143" s="3"/>
      <c r="AW143" s="3"/>
      <c r="AX143" s="3"/>
      <c r="AY143" s="3"/>
      <c r="AZ143" s="3"/>
      <c r="BA143" s="3"/>
      <c r="BB143" s="3"/>
      <c r="BC143" s="3"/>
    </row>
    <row r="144" ht="15.75" customHeight="1">
      <c r="A144" s="239"/>
      <c r="C144" s="262"/>
      <c r="D144" s="249"/>
      <c r="E144" s="249"/>
      <c r="F144" s="249"/>
      <c r="G144" s="249"/>
      <c r="H144" s="249"/>
      <c r="I144" s="249"/>
      <c r="J144" s="249"/>
      <c r="K144" s="249"/>
      <c r="L144" s="249"/>
      <c r="M144" s="262"/>
      <c r="N144" s="249"/>
      <c r="O144" s="249"/>
      <c r="P144" s="249"/>
      <c r="Q144" s="249"/>
      <c r="R144" s="249"/>
      <c r="S144" s="249"/>
      <c r="T144" s="249"/>
      <c r="U144" s="249"/>
      <c r="V144" s="249"/>
      <c r="W144" s="262"/>
      <c r="X144" s="249"/>
      <c r="Y144" s="249"/>
      <c r="Z144" s="249"/>
      <c r="AA144" s="249"/>
      <c r="AB144" s="249"/>
      <c r="AC144" s="249"/>
      <c r="AD144" s="249"/>
      <c r="AE144" s="249"/>
      <c r="AF144" s="166"/>
      <c r="AG144" s="261"/>
      <c r="AH144" s="261"/>
      <c r="AI144" s="166"/>
      <c r="AJ144" s="166"/>
      <c r="AK144" s="261"/>
      <c r="AL144" s="261"/>
      <c r="AM144" s="166"/>
      <c r="AN144" s="166"/>
      <c r="AP144" s="239"/>
      <c r="AQ144" s="3"/>
      <c r="AR144" s="3"/>
      <c r="AS144" s="3"/>
      <c r="AT144" s="3"/>
      <c r="AU144" s="3"/>
      <c r="AV144" s="3"/>
      <c r="AW144" s="3"/>
      <c r="AX144" s="3"/>
      <c r="AY144" s="3"/>
      <c r="AZ144" s="3"/>
      <c r="BA144" s="3"/>
      <c r="BB144" s="3"/>
      <c r="BC144" s="3"/>
    </row>
    <row r="145" ht="15.75" customHeight="1">
      <c r="A145" s="12"/>
      <c r="B145" s="239" t="str">
        <f>IMAGE("http://i.imgur.com/MaFA5BQ.png",2)</f>
        <v/>
      </c>
      <c r="AP145" s="12"/>
      <c r="AQ145" s="3"/>
      <c r="AR145" s="3"/>
      <c r="AS145" s="3"/>
      <c r="AT145" s="3"/>
      <c r="AU145" s="3"/>
      <c r="AV145" s="3"/>
      <c r="AW145" s="3"/>
      <c r="AX145" s="3"/>
      <c r="AY145" s="3"/>
      <c r="AZ145" s="3"/>
      <c r="BA145" s="3"/>
      <c r="BB145" s="3"/>
      <c r="BC145" s="3"/>
    </row>
    <row r="146" ht="15.75" customHeight="1">
      <c r="A146" s="263"/>
      <c r="B146" s="5"/>
      <c r="C146" s="5"/>
      <c r="D146" s="5"/>
      <c r="E146" s="5"/>
      <c r="F146" s="5"/>
      <c r="G146" s="5"/>
      <c r="H146" s="5"/>
      <c r="I146" s="5"/>
      <c r="J146" s="5"/>
      <c r="K146" s="5"/>
      <c r="L146" s="5"/>
      <c r="M146" s="5"/>
      <c r="N146" s="5"/>
      <c r="O146" s="5"/>
      <c r="P146" s="5"/>
      <c r="Q146" s="147" t="str">
        <f>IMAGE("http://i.imgur.com/lfl1OrE.png",4, 713, 20)</f>
        <v/>
      </c>
      <c r="R146" s="5"/>
      <c r="S146" s="5"/>
      <c r="T146" s="5"/>
      <c r="U146" s="5"/>
      <c r="V146" s="5"/>
      <c r="W146" s="5"/>
      <c r="X146" s="5"/>
      <c r="Y146" s="5"/>
      <c r="Z146" s="5"/>
      <c r="AA146" s="5"/>
      <c r="AB146" s="5"/>
      <c r="AC146" s="5"/>
      <c r="AD146" s="5"/>
      <c r="AE146" s="5"/>
      <c r="AF146" s="5"/>
      <c r="AG146" s="5"/>
      <c r="AH146" s="5"/>
      <c r="AI146" s="5"/>
      <c r="AJ146" s="5"/>
      <c r="AK146" s="5"/>
      <c r="AL146" s="5"/>
      <c r="AM146" s="5"/>
      <c r="AN146" s="5"/>
      <c r="AO146" s="147" t="str">
        <f>IMAGE("http://i.imgur.com/HPmeNxc.png",4, 713, 20)</f>
        <v/>
      </c>
      <c r="AP146" s="12"/>
      <c r="AQ146" s="3"/>
      <c r="AR146" s="3"/>
      <c r="AS146" s="3"/>
      <c r="AT146" s="3"/>
      <c r="AU146" s="3"/>
      <c r="AV146" s="3"/>
      <c r="AW146" s="3"/>
      <c r="AX146" s="3"/>
      <c r="AY146" s="3"/>
      <c r="AZ146" s="3"/>
      <c r="BA146" s="3"/>
      <c r="BB146" s="3"/>
      <c r="BC146" s="3"/>
    </row>
    <row r="147" ht="15.75" customHeight="1">
      <c r="A147" s="12"/>
      <c r="B147" s="264" t="str">
        <f>IMAGE("http://i.imgur.com/txQSaWP.png",2)</f>
        <v/>
      </c>
      <c r="O147" s="11"/>
      <c r="R147" s="265"/>
      <c r="S147" s="70"/>
      <c r="T147" s="70"/>
      <c r="U147" s="70"/>
      <c r="V147" s="70"/>
      <c r="W147" s="70"/>
      <c r="X147" s="70"/>
      <c r="Y147" s="70"/>
      <c r="Z147" s="70"/>
      <c r="AA147" s="70"/>
      <c r="AB147" s="70"/>
      <c r="AC147" s="266" t="str">
        <f>IMAGE("http://i.imgur.com/YThwbjs.png",3)</f>
        <v/>
      </c>
      <c r="AD147" s="267" t="str">
        <f>IMAGE("http://i.imgur.com/bTrqe1T.png",2)</f>
        <v/>
      </c>
      <c r="AE147" s="25"/>
      <c r="AF147" s="25"/>
      <c r="AG147" s="25"/>
      <c r="AH147" s="25"/>
      <c r="AI147" s="25"/>
      <c r="AJ147" s="25"/>
      <c r="AK147" s="25"/>
      <c r="AL147" s="25"/>
      <c r="AM147" s="25"/>
      <c r="AN147" s="268"/>
      <c r="AP147" s="12"/>
      <c r="AQ147" s="3"/>
      <c r="AR147" s="3"/>
      <c r="AS147" s="3"/>
      <c r="AT147" s="3"/>
      <c r="AU147" s="3"/>
      <c r="AV147" s="3"/>
      <c r="AW147" s="3"/>
      <c r="AX147" s="3"/>
      <c r="AY147" s="3"/>
      <c r="AZ147" s="3"/>
      <c r="BA147" s="3"/>
      <c r="BB147" s="3"/>
      <c r="BC147" s="3"/>
    </row>
    <row r="148" ht="15.75" customHeight="1">
      <c r="A148" s="12"/>
      <c r="B148" s="264"/>
      <c r="C148" s="269"/>
      <c r="D148" s="16"/>
      <c r="E148" s="16"/>
      <c r="F148" s="270"/>
      <c r="G148" s="16"/>
      <c r="H148" s="16"/>
      <c r="I148" s="271"/>
      <c r="J148" s="16"/>
      <c r="K148" s="16"/>
      <c r="L148" s="272"/>
      <c r="M148" s="16"/>
      <c r="N148" s="16"/>
      <c r="O148" s="19"/>
      <c r="R148" s="273"/>
      <c r="S148" s="74"/>
      <c r="T148" s="74"/>
      <c r="U148" s="74"/>
      <c r="V148" s="74"/>
      <c r="W148" s="74"/>
      <c r="X148" s="74"/>
      <c r="Y148" s="74"/>
      <c r="Z148" s="74"/>
      <c r="AA148" s="74"/>
      <c r="AB148" s="74"/>
      <c r="AD148" s="61"/>
      <c r="AN148" s="63"/>
      <c r="AP148" s="12"/>
      <c r="AQ148" s="3"/>
      <c r="AR148" s="3"/>
      <c r="AS148" s="3"/>
      <c r="AT148" s="3"/>
      <c r="AU148" s="3"/>
      <c r="AV148" s="3"/>
      <c r="AW148" s="3"/>
      <c r="AX148" s="3"/>
      <c r="AY148" s="3"/>
      <c r="AZ148" s="3"/>
      <c r="BA148" s="3"/>
      <c r="BB148" s="3"/>
      <c r="BC148" s="3"/>
    </row>
    <row r="149" ht="15.75" customHeight="1">
      <c r="A149" s="12"/>
      <c r="B149" s="27"/>
      <c r="C149" s="23" t="s">
        <v>141</v>
      </c>
      <c r="F149" s="23" t="s">
        <v>142</v>
      </c>
      <c r="I149" s="23" t="s">
        <v>143</v>
      </c>
      <c r="L149" s="23" t="s">
        <v>144</v>
      </c>
      <c r="O149" s="11"/>
      <c r="R149" s="273"/>
      <c r="S149" s="74"/>
      <c r="T149" s="74"/>
      <c r="U149" s="74"/>
      <c r="V149" s="74"/>
      <c r="W149" s="74"/>
      <c r="X149" s="74"/>
      <c r="Y149" s="74"/>
      <c r="Z149" s="74"/>
      <c r="AA149" s="74"/>
      <c r="AB149" s="74"/>
      <c r="AD149" s="274"/>
      <c r="AE149" s="275" t="str">
        <f>IMAGE("http://i.imgur.com/RPBcjfQ.png",2)</f>
        <v/>
      </c>
      <c r="AF149" s="276"/>
      <c r="AG149" s="152"/>
      <c r="AH149" s="152"/>
      <c r="AI149" s="152"/>
      <c r="AJ149" s="152"/>
      <c r="AK149" s="152"/>
      <c r="AL149" s="152"/>
      <c r="AM149" s="19" t="str">
        <f>IMAGE("http://i.imgur.com/9TzSPZd.png",2)</f>
        <v/>
      </c>
      <c r="AN149" s="277"/>
      <c r="AP149" s="12"/>
      <c r="AQ149" s="3"/>
      <c r="AR149" s="3"/>
      <c r="AS149" s="3"/>
      <c r="AT149" s="3"/>
      <c r="AU149" s="3"/>
      <c r="AV149" s="3"/>
      <c r="AW149" s="3"/>
      <c r="AX149" s="3"/>
      <c r="AY149" s="3"/>
      <c r="AZ149" s="3"/>
      <c r="BA149" s="3"/>
      <c r="BB149" s="3"/>
      <c r="BC149" s="3"/>
    </row>
    <row r="150" ht="15.75" customHeight="1">
      <c r="A150" s="12"/>
      <c r="B150" s="27"/>
      <c r="C150" s="272"/>
      <c r="D150" s="16"/>
      <c r="E150" s="16"/>
      <c r="F150" s="272"/>
      <c r="G150" s="16"/>
      <c r="H150" s="16"/>
      <c r="I150" s="272"/>
      <c r="J150" s="16"/>
      <c r="K150" s="16"/>
      <c r="L150" s="272"/>
      <c r="M150" s="16"/>
      <c r="N150" s="16"/>
      <c r="O150" s="11"/>
      <c r="R150" s="273"/>
      <c r="S150" s="74"/>
      <c r="T150" s="74"/>
      <c r="U150" s="74"/>
      <c r="V150" s="74"/>
      <c r="W150" s="74"/>
      <c r="X150" s="74"/>
      <c r="Y150" s="74"/>
      <c r="Z150" s="74"/>
      <c r="AA150" s="74"/>
      <c r="AB150" s="74"/>
      <c r="AD150" s="61"/>
      <c r="AE150" s="278" t="str">
        <f>if(I176&lt;&gt;"",IMAGE(I176), if(AF149="Harpers",IMAGE("http://i.imgur.com/spbk1zO.png"),if(AF149="Order of the Gauntlet",IMAGE("http://i.imgur.com/zmBYzRZ.png"),if(AF149="Emerald Enclave",IMAGE("http://i.imgur.com/tlMXGVU.png"),if(AF149="Lords' Alliance",IMAGE("http://i.imgur.com/PkmgEis.png"),if(AF149="Zhentarim",IMAGE("http://i.imgur.com/K4P91yD.png"),"[188x188+]"))))))</f>
        <v>[188x188+]</v>
      </c>
      <c r="AF150" s="35"/>
      <c r="AG150" s="35"/>
      <c r="AH150" s="35"/>
      <c r="AI150" s="35"/>
      <c r="AJ150" s="35"/>
      <c r="AK150" s="35"/>
      <c r="AL150" s="35"/>
      <c r="AM150" s="279"/>
      <c r="AN150" s="63"/>
      <c r="AP150" s="12"/>
      <c r="AQ150" s="3"/>
      <c r="AR150" s="3"/>
      <c r="AS150" s="3"/>
      <c r="AT150" s="3"/>
      <c r="AU150" s="3"/>
      <c r="AV150" s="3"/>
      <c r="AW150" s="3"/>
      <c r="AX150" s="3"/>
      <c r="AY150" s="3"/>
      <c r="AZ150" s="3"/>
      <c r="BA150" s="3"/>
      <c r="BB150" s="3"/>
      <c r="BC150" s="3"/>
    </row>
    <row r="151" ht="15.75" customHeight="1">
      <c r="A151" s="12"/>
      <c r="B151" s="27"/>
      <c r="C151" s="23" t="s">
        <v>145</v>
      </c>
      <c r="F151" s="23" t="s">
        <v>146</v>
      </c>
      <c r="I151" s="23" t="s">
        <v>147</v>
      </c>
      <c r="L151" s="23" t="s">
        <v>148</v>
      </c>
      <c r="O151" s="11"/>
      <c r="R151" s="273"/>
      <c r="S151" s="74"/>
      <c r="T151" s="74"/>
      <c r="U151" s="74"/>
      <c r="V151" s="74"/>
      <c r="W151" s="74"/>
      <c r="X151" s="74"/>
      <c r="Y151" s="74"/>
      <c r="Z151" s="74"/>
      <c r="AA151" s="74"/>
      <c r="AB151" s="74"/>
      <c r="AD151" s="61"/>
      <c r="AE151" s="27"/>
      <c r="AM151" s="11"/>
      <c r="AN151" s="63"/>
      <c r="AP151" s="12"/>
      <c r="AQ151" s="3"/>
      <c r="AR151" s="3"/>
      <c r="AS151" s="3"/>
      <c r="AT151" s="3"/>
      <c r="AU151" s="3"/>
      <c r="AV151" s="3"/>
      <c r="AW151" s="3"/>
      <c r="AX151" s="3"/>
      <c r="AY151" s="3"/>
      <c r="AZ151" s="3"/>
      <c r="BA151" s="3"/>
      <c r="BB151" s="3"/>
      <c r="BC151" s="3"/>
    </row>
    <row r="152" ht="15.75" customHeight="1">
      <c r="A152" s="12"/>
      <c r="B152" s="280" t="str">
        <f>IMAGE("http://i.imgur.com/g03ok4e.png",2)</f>
        <v/>
      </c>
      <c r="O152" s="11"/>
      <c r="R152" s="273"/>
      <c r="S152" s="74"/>
      <c r="T152" s="74"/>
      <c r="U152" s="74"/>
      <c r="V152" s="74"/>
      <c r="W152" s="74"/>
      <c r="X152" s="74"/>
      <c r="Y152" s="74"/>
      <c r="Z152" s="74"/>
      <c r="AA152" s="74"/>
      <c r="AB152" s="74"/>
      <c r="AD152" s="61"/>
      <c r="AE152" s="27"/>
      <c r="AM152" s="11"/>
      <c r="AN152" s="63"/>
      <c r="AP152" s="12"/>
      <c r="AQ152" s="3"/>
      <c r="AR152" s="3"/>
      <c r="AS152" s="3"/>
      <c r="AT152" s="3"/>
      <c r="AU152" s="3"/>
      <c r="AV152" s="3"/>
      <c r="AW152" s="3"/>
      <c r="AX152" s="3"/>
      <c r="AY152" s="3"/>
      <c r="AZ152" s="3"/>
      <c r="BA152" s="3"/>
      <c r="BB152" s="3"/>
      <c r="BC152" s="3"/>
    </row>
    <row r="153" ht="15.75" customHeight="1">
      <c r="A153" s="263"/>
      <c r="B153" s="5"/>
      <c r="C153" s="5"/>
      <c r="D153" s="5"/>
      <c r="E153" s="5"/>
      <c r="F153" s="5"/>
      <c r="G153" s="5"/>
      <c r="H153" s="5"/>
      <c r="I153" s="5"/>
      <c r="J153" s="5"/>
      <c r="K153" s="5"/>
      <c r="L153" s="5"/>
      <c r="M153" s="5"/>
      <c r="N153" s="5"/>
      <c r="O153" s="5"/>
      <c r="P153" s="263"/>
      <c r="R153" s="273"/>
      <c r="S153" s="74"/>
      <c r="T153" s="74"/>
      <c r="U153" s="74"/>
      <c r="V153" s="74"/>
      <c r="W153" s="74"/>
      <c r="X153" s="74"/>
      <c r="Y153" s="74"/>
      <c r="Z153" s="74"/>
      <c r="AA153" s="74"/>
      <c r="AB153" s="74"/>
      <c r="AD153" s="61"/>
      <c r="AE153" s="27"/>
      <c r="AM153" s="11"/>
      <c r="AN153" s="63"/>
      <c r="AP153" s="12"/>
      <c r="AQ153" s="3"/>
      <c r="AR153" s="3"/>
      <c r="AS153" s="3"/>
      <c r="AT153" s="3"/>
      <c r="AU153" s="3"/>
      <c r="AV153" s="3"/>
      <c r="AW153" s="3"/>
      <c r="AX153" s="3"/>
      <c r="AY153" s="3"/>
      <c r="AZ153" s="3"/>
      <c r="BA153" s="3"/>
      <c r="BB153" s="3"/>
      <c r="BC153" s="3"/>
    </row>
    <row r="154" ht="15.75" customHeight="1">
      <c r="A154" s="12"/>
      <c r="B154" s="147" t="str">
        <f>IMAGE("http://i.imgur.com/KIP2tYo.png",2)</f>
        <v/>
      </c>
      <c r="C154" s="187" t="str">
        <f>IMAGE("https://i.imgur.com/IxRRFOd.png",2)</f>
        <v/>
      </c>
      <c r="O154" s="147" t="str">
        <f>IMAGE("http://i.imgur.com/uMJMbFU.png",2)</f>
        <v/>
      </c>
      <c r="P154" s="12"/>
      <c r="R154" s="273"/>
      <c r="S154" s="74"/>
      <c r="T154" s="74"/>
      <c r="U154" s="74"/>
      <c r="V154" s="74"/>
      <c r="W154" s="74"/>
      <c r="X154" s="74"/>
      <c r="Y154" s="74"/>
      <c r="Z154" s="74"/>
      <c r="AA154" s="74"/>
      <c r="AB154" s="74"/>
      <c r="AD154" s="61"/>
      <c r="AE154" s="27"/>
      <c r="AM154" s="11"/>
      <c r="AN154" s="63"/>
      <c r="AP154" s="12"/>
      <c r="AQ154" s="3"/>
      <c r="AR154" s="3"/>
      <c r="AS154" s="3"/>
      <c r="AT154" s="3"/>
      <c r="AU154" s="3"/>
      <c r="AV154" s="3"/>
      <c r="AW154" s="3"/>
      <c r="AX154" s="3"/>
      <c r="AY154" s="3"/>
      <c r="AZ154" s="3"/>
      <c r="BA154" s="3"/>
      <c r="BB154" s="3"/>
      <c r="BC154" s="3"/>
    </row>
    <row r="155" ht="15.75" customHeight="1">
      <c r="A155" s="12"/>
      <c r="C155" s="281" t="str">
        <f>if(C176="","[251x335+]",IMAGE(C176))</f>
        <v>[251x335+]</v>
      </c>
      <c r="D155" s="25"/>
      <c r="E155" s="25"/>
      <c r="F155" s="25"/>
      <c r="G155" s="25"/>
      <c r="H155" s="25"/>
      <c r="I155" s="25"/>
      <c r="J155" s="25"/>
      <c r="K155" s="25"/>
      <c r="L155" s="25"/>
      <c r="M155" s="25"/>
      <c r="N155" s="268"/>
      <c r="P155" s="198"/>
      <c r="R155" s="273"/>
      <c r="S155" s="74"/>
      <c r="T155" s="74"/>
      <c r="U155" s="74"/>
      <c r="V155" s="74"/>
      <c r="W155" s="74"/>
      <c r="X155" s="74"/>
      <c r="Y155" s="74"/>
      <c r="Z155" s="74"/>
      <c r="AA155" s="74"/>
      <c r="AB155" s="74"/>
      <c r="AD155" s="61"/>
      <c r="AE155" s="27"/>
      <c r="AM155" s="11"/>
      <c r="AN155" s="63"/>
      <c r="AP155" s="12"/>
      <c r="AQ155" s="3" t="s">
        <v>149</v>
      </c>
      <c r="AR155" s="3" t="s">
        <v>150</v>
      </c>
      <c r="AS155" s="2" t="s">
        <v>151</v>
      </c>
      <c r="AT155" s="3"/>
      <c r="AU155" s="3"/>
      <c r="AV155" s="3"/>
      <c r="AW155" s="3"/>
      <c r="AX155" s="3"/>
      <c r="AY155" s="3"/>
      <c r="AZ155" s="3"/>
      <c r="BA155" s="3"/>
      <c r="BB155" s="3"/>
      <c r="BC155" s="3"/>
    </row>
    <row r="156" ht="15.75" customHeight="1">
      <c r="A156" s="12"/>
      <c r="C156" s="61"/>
      <c r="N156" s="63"/>
      <c r="P156" s="198"/>
      <c r="R156" s="273"/>
      <c r="S156" s="74"/>
      <c r="T156" s="74"/>
      <c r="U156" s="74"/>
      <c r="V156" s="74"/>
      <c r="W156" s="74"/>
      <c r="X156" s="74"/>
      <c r="Y156" s="74"/>
      <c r="Z156" s="74"/>
      <c r="AA156" s="74"/>
      <c r="AB156" s="74"/>
      <c r="AD156" s="61"/>
      <c r="AE156" s="27"/>
      <c r="AM156" s="11"/>
      <c r="AN156" s="63"/>
      <c r="AP156" s="12"/>
      <c r="AQ156" s="13" t="s">
        <v>152</v>
      </c>
      <c r="AR156" s="282" t="s">
        <v>153</v>
      </c>
      <c r="AS156" s="283" t="s">
        <v>154</v>
      </c>
      <c r="AT156" s="3"/>
      <c r="AU156" s="3"/>
      <c r="AV156" s="3"/>
      <c r="AW156" s="3"/>
      <c r="AX156" s="3"/>
      <c r="AY156" s="3"/>
      <c r="AZ156" s="3"/>
      <c r="BA156" s="3"/>
      <c r="BB156" s="3"/>
      <c r="BC156" s="3"/>
    </row>
    <row r="157" ht="15.75" customHeight="1">
      <c r="A157" s="12"/>
      <c r="C157" s="61"/>
      <c r="N157" s="63"/>
      <c r="P157" s="198"/>
      <c r="R157" s="273"/>
      <c r="S157" s="74"/>
      <c r="T157" s="74"/>
      <c r="U157" s="74"/>
      <c r="V157" s="74"/>
      <c r="W157" s="74"/>
      <c r="X157" s="74"/>
      <c r="Y157" s="74"/>
      <c r="Z157" s="74"/>
      <c r="AA157" s="74"/>
      <c r="AB157" s="74"/>
      <c r="AD157" s="61"/>
      <c r="AE157" s="27"/>
      <c r="AM157" s="11"/>
      <c r="AN157" s="63"/>
      <c r="AP157" s="12"/>
      <c r="AQ157" s="284" t="s">
        <v>155</v>
      </c>
      <c r="AR157" s="285" t="s">
        <v>156</v>
      </c>
      <c r="AS157" s="286" t="s">
        <v>157</v>
      </c>
      <c r="AT157" s="3"/>
      <c r="AU157" s="3"/>
      <c r="AV157" s="3"/>
      <c r="AW157" s="3"/>
      <c r="AX157" s="3"/>
      <c r="AY157" s="3"/>
      <c r="AZ157" s="3"/>
      <c r="BA157" s="3"/>
      <c r="BB157" s="3"/>
      <c r="BC157" s="3"/>
    </row>
    <row r="158" ht="15.75" customHeight="1">
      <c r="A158" s="12"/>
      <c r="C158" s="61"/>
      <c r="N158" s="63"/>
      <c r="P158" s="198"/>
      <c r="R158" s="273"/>
      <c r="S158" s="74"/>
      <c r="T158" s="74"/>
      <c r="U158" s="74"/>
      <c r="V158" s="74"/>
      <c r="W158" s="74"/>
      <c r="X158" s="74"/>
      <c r="Y158" s="74"/>
      <c r="Z158" s="74"/>
      <c r="AA158" s="74"/>
      <c r="AB158" s="74"/>
      <c r="AD158" s="287"/>
      <c r="AE158" s="288"/>
      <c r="AF158" s="156"/>
      <c r="AG158" s="156"/>
      <c r="AH158" s="156"/>
      <c r="AI158" s="156"/>
      <c r="AJ158" s="156"/>
      <c r="AK158" s="156"/>
      <c r="AL158" s="156"/>
      <c r="AM158" s="289"/>
      <c r="AN158" s="290"/>
      <c r="AP158" s="12"/>
      <c r="AQ158" s="284" t="s">
        <v>158</v>
      </c>
      <c r="AR158" s="285" t="s">
        <v>159</v>
      </c>
      <c r="AS158" s="286" t="s">
        <v>157</v>
      </c>
      <c r="AT158" s="3"/>
      <c r="AU158" s="3"/>
      <c r="AV158" s="3"/>
      <c r="AW158" s="3"/>
      <c r="AX158" s="3"/>
      <c r="AY158" s="3"/>
      <c r="AZ158" s="3"/>
      <c r="BA158" s="3"/>
      <c r="BB158" s="3"/>
      <c r="BC158" s="3"/>
    </row>
    <row r="159" ht="15.75" customHeight="1">
      <c r="A159" s="12"/>
      <c r="C159" s="61"/>
      <c r="N159" s="63"/>
      <c r="P159" s="198"/>
      <c r="R159" s="273"/>
      <c r="S159" s="74"/>
      <c r="T159" s="74"/>
      <c r="U159" s="74"/>
      <c r="V159" s="74"/>
      <c r="W159" s="74"/>
      <c r="X159" s="74"/>
      <c r="Y159" s="74"/>
      <c r="Z159" s="74"/>
      <c r="AA159" s="74"/>
      <c r="AB159" s="74"/>
      <c r="AD159" s="57" t="str">
        <f>IMAGE("http://i.imgur.com/NNZ6JYf.png",2)</f>
        <v/>
      </c>
      <c r="AN159" s="63"/>
      <c r="AP159" s="12"/>
      <c r="AQ159" s="284" t="s">
        <v>160</v>
      </c>
      <c r="AR159" s="285" t="s">
        <v>161</v>
      </c>
      <c r="AS159" s="286" t="s">
        <v>157</v>
      </c>
      <c r="AT159" s="3"/>
      <c r="AU159" s="3"/>
      <c r="AV159" s="3"/>
      <c r="AW159" s="3"/>
      <c r="AX159" s="3"/>
      <c r="AY159" s="3"/>
      <c r="AZ159" s="3"/>
      <c r="BA159" s="3"/>
      <c r="BB159" s="3"/>
      <c r="BC159" s="3"/>
    </row>
    <row r="160" ht="15.75" customHeight="1">
      <c r="A160" s="12"/>
      <c r="C160" s="61"/>
      <c r="N160" s="63"/>
      <c r="P160" s="198"/>
      <c r="R160" s="273"/>
      <c r="S160" s="74"/>
      <c r="T160" s="74"/>
      <c r="U160" s="74"/>
      <c r="V160" s="74"/>
      <c r="W160" s="74"/>
      <c r="X160" s="74"/>
      <c r="Y160" s="74"/>
      <c r="Z160" s="74"/>
      <c r="AA160" s="74"/>
      <c r="AB160" s="74"/>
      <c r="AD160" s="61"/>
      <c r="AN160" s="63"/>
      <c r="AP160" s="12"/>
      <c r="AQ160" s="3" t="s">
        <v>162</v>
      </c>
      <c r="AR160" s="291" t="s">
        <v>163</v>
      </c>
      <c r="AS160" s="286" t="s">
        <v>157</v>
      </c>
      <c r="AT160" s="3"/>
      <c r="AU160" s="3"/>
      <c r="AV160" s="3"/>
      <c r="AW160" s="3"/>
      <c r="AX160" s="3"/>
      <c r="AY160" s="3"/>
      <c r="AZ160" s="3"/>
      <c r="BA160" s="3"/>
      <c r="BB160" s="3"/>
      <c r="BC160" s="3"/>
    </row>
    <row r="161" ht="15.75" customHeight="1">
      <c r="A161" s="12"/>
      <c r="C161" s="61"/>
      <c r="N161" s="63"/>
      <c r="P161" s="198"/>
      <c r="R161" s="273"/>
      <c r="S161" s="74"/>
      <c r="T161" s="74"/>
      <c r="U161" s="74"/>
      <c r="V161" s="74"/>
      <c r="W161" s="74"/>
      <c r="X161" s="74"/>
      <c r="Y161" s="74"/>
      <c r="Z161" s="74"/>
      <c r="AA161" s="74"/>
      <c r="AB161" s="74"/>
      <c r="AD161" s="167"/>
      <c r="AE161" s="166"/>
      <c r="AF161" s="166"/>
      <c r="AG161" s="166"/>
      <c r="AH161" s="166"/>
      <c r="AI161" s="166"/>
      <c r="AJ161" s="166"/>
      <c r="AK161" s="166"/>
      <c r="AL161" s="166"/>
      <c r="AM161" s="166"/>
      <c r="AN161" s="166"/>
      <c r="AP161" s="12"/>
      <c r="AQ161" s="3" t="s">
        <v>164</v>
      </c>
      <c r="AR161" s="291" t="s">
        <v>165</v>
      </c>
      <c r="AS161" s="286" t="s">
        <v>157</v>
      </c>
      <c r="AT161" s="3"/>
      <c r="AU161" s="3"/>
      <c r="AV161" s="3"/>
      <c r="AW161" s="3"/>
      <c r="AX161" s="3"/>
      <c r="AY161" s="3"/>
      <c r="AZ161" s="3"/>
      <c r="BA161" s="3"/>
      <c r="BB161" s="3"/>
      <c r="BC161" s="3"/>
    </row>
    <row r="162" ht="15.75" customHeight="1">
      <c r="A162" s="12"/>
      <c r="C162" s="61"/>
      <c r="N162" s="63"/>
      <c r="P162" s="198"/>
      <c r="R162" s="273"/>
      <c r="S162" s="74"/>
      <c r="T162" s="74"/>
      <c r="U162" s="74"/>
      <c r="V162" s="74"/>
      <c r="W162" s="74"/>
      <c r="X162" s="74"/>
      <c r="Y162" s="74"/>
      <c r="Z162" s="74"/>
      <c r="AA162" s="74"/>
      <c r="AB162" s="74"/>
      <c r="AD162" s="273"/>
      <c r="AE162" s="74"/>
      <c r="AF162" s="74"/>
      <c r="AG162" s="74"/>
      <c r="AH162" s="74"/>
      <c r="AI162" s="74"/>
      <c r="AJ162" s="74"/>
      <c r="AK162" s="74"/>
      <c r="AL162" s="74"/>
      <c r="AM162" s="74"/>
      <c r="AN162" s="74"/>
      <c r="AP162" s="12"/>
      <c r="AQ162" s="3" t="s">
        <v>166</v>
      </c>
      <c r="AR162" s="291" t="s">
        <v>167</v>
      </c>
      <c r="AS162" s="286" t="s">
        <v>157</v>
      </c>
      <c r="AT162" s="3"/>
      <c r="AU162" s="3"/>
      <c r="AV162" s="3"/>
      <c r="AW162" s="3"/>
      <c r="AX162" s="3"/>
      <c r="AY162" s="3"/>
      <c r="AZ162" s="3"/>
      <c r="BA162" s="3"/>
      <c r="BB162" s="3"/>
      <c r="BC162" s="3"/>
    </row>
    <row r="163" ht="15.75" customHeight="1">
      <c r="A163" s="12"/>
      <c r="C163" s="61"/>
      <c r="N163" s="63"/>
      <c r="P163" s="198"/>
      <c r="R163" s="175" t="s">
        <v>168</v>
      </c>
      <c r="S163" s="31"/>
      <c r="T163" s="31"/>
      <c r="U163" s="31"/>
      <c r="V163" s="31"/>
      <c r="W163" s="31"/>
      <c r="X163" s="31"/>
      <c r="Y163" s="31"/>
      <c r="Z163" s="31"/>
      <c r="AA163" s="31"/>
      <c r="AB163" s="31"/>
      <c r="AC163" s="31"/>
      <c r="AD163" s="31"/>
      <c r="AE163" s="31"/>
      <c r="AF163" s="31"/>
      <c r="AG163" s="31"/>
      <c r="AH163" s="31"/>
      <c r="AI163" s="31"/>
      <c r="AJ163" s="31"/>
      <c r="AK163" s="31"/>
      <c r="AL163" s="31"/>
      <c r="AM163" s="31"/>
      <c r="AN163" s="31"/>
      <c r="AP163" s="12"/>
      <c r="AQ163" s="3" t="s">
        <v>169</v>
      </c>
      <c r="AR163" s="291" t="s">
        <v>170</v>
      </c>
      <c r="AS163" s="286" t="s">
        <v>157</v>
      </c>
      <c r="AT163" s="3"/>
      <c r="AU163" s="3"/>
      <c r="AV163" s="3"/>
      <c r="AW163" s="3"/>
      <c r="AX163" s="3"/>
      <c r="AY163" s="3"/>
      <c r="AZ163" s="3"/>
      <c r="BA163" s="3"/>
      <c r="BB163" s="3"/>
      <c r="BC163" s="3"/>
    </row>
    <row r="164" ht="15.75" customHeight="1">
      <c r="A164" s="12"/>
      <c r="C164" s="61"/>
      <c r="N164" s="63"/>
      <c r="P164" s="198"/>
      <c r="R164" s="5"/>
      <c r="S164" s="5"/>
      <c r="T164" s="5"/>
      <c r="U164" s="5"/>
      <c r="V164" s="5"/>
      <c r="W164" s="5"/>
      <c r="X164" s="5"/>
      <c r="Y164" s="5"/>
      <c r="Z164" s="5"/>
      <c r="AA164" s="5"/>
      <c r="AB164" s="5"/>
      <c r="AC164" s="5"/>
      <c r="AD164" s="5"/>
      <c r="AE164" s="5"/>
      <c r="AF164" s="5"/>
      <c r="AG164" s="5"/>
      <c r="AH164" s="5"/>
      <c r="AI164" s="5"/>
      <c r="AJ164" s="5"/>
      <c r="AK164" s="5"/>
      <c r="AL164" s="5"/>
      <c r="AM164" s="5"/>
      <c r="AN164" s="5"/>
      <c r="AP164" s="12"/>
      <c r="AQ164" s="3" t="s">
        <v>171</v>
      </c>
      <c r="AR164" s="291" t="s">
        <v>172</v>
      </c>
      <c r="AS164" s="286" t="s">
        <v>157</v>
      </c>
      <c r="AT164" s="3"/>
      <c r="AU164" s="3"/>
      <c r="AV164" s="3"/>
      <c r="AW164" s="3"/>
      <c r="AX164" s="3"/>
      <c r="AY164" s="3"/>
      <c r="AZ164" s="3"/>
      <c r="BA164" s="3"/>
      <c r="BB164" s="3"/>
      <c r="BC164" s="3"/>
    </row>
    <row r="165" ht="15.75" customHeight="1">
      <c r="A165" s="12"/>
      <c r="C165" s="61"/>
      <c r="N165" s="63"/>
      <c r="P165" s="198"/>
      <c r="R165" s="292"/>
      <c r="S165" s="70"/>
      <c r="T165" s="70"/>
      <c r="U165" s="70"/>
      <c r="V165" s="70"/>
      <c r="W165" s="70"/>
      <c r="X165" s="70"/>
      <c r="Y165" s="70"/>
      <c r="Z165" s="70"/>
      <c r="AA165" s="70"/>
      <c r="AB165" s="70"/>
      <c r="AC165" s="70"/>
      <c r="AD165" s="70"/>
      <c r="AE165" s="70"/>
      <c r="AF165" s="70"/>
      <c r="AG165" s="70"/>
      <c r="AH165" s="70"/>
      <c r="AI165" s="70"/>
      <c r="AJ165" s="70"/>
      <c r="AK165" s="70"/>
      <c r="AL165" s="70"/>
      <c r="AM165" s="70"/>
      <c r="AN165" s="70"/>
      <c r="AP165" s="12"/>
      <c r="AQ165" s="3" t="s">
        <v>173</v>
      </c>
      <c r="AR165" s="291" t="s">
        <v>174</v>
      </c>
      <c r="AS165" s="286" t="s">
        <v>157</v>
      </c>
      <c r="AT165" s="3"/>
      <c r="AU165" s="3"/>
      <c r="AV165" s="3"/>
      <c r="AW165" s="3"/>
      <c r="AX165" s="3"/>
      <c r="AY165" s="3"/>
      <c r="AZ165" s="3"/>
      <c r="BA165" s="3"/>
      <c r="BB165" s="3"/>
      <c r="BC165" s="3"/>
    </row>
    <row r="166" ht="15.75" customHeight="1">
      <c r="C166" s="61"/>
      <c r="N166" s="63"/>
      <c r="R166" s="293"/>
      <c r="S166" s="74"/>
      <c r="T166" s="74"/>
      <c r="U166" s="74"/>
      <c r="V166" s="74"/>
      <c r="W166" s="74"/>
      <c r="X166" s="74"/>
      <c r="Y166" s="74"/>
      <c r="Z166" s="74"/>
      <c r="AA166" s="74"/>
      <c r="AB166" s="74"/>
      <c r="AC166" s="74"/>
      <c r="AD166" s="74"/>
      <c r="AE166" s="74"/>
      <c r="AF166" s="74"/>
      <c r="AG166" s="74"/>
      <c r="AH166" s="74"/>
      <c r="AI166" s="74"/>
      <c r="AJ166" s="74"/>
      <c r="AK166" s="74"/>
      <c r="AL166" s="74"/>
      <c r="AM166" s="74"/>
      <c r="AN166" s="74"/>
      <c r="AP166" s="12"/>
      <c r="AQ166" s="3" t="s">
        <v>175</v>
      </c>
      <c r="AR166" s="291" t="s">
        <v>176</v>
      </c>
      <c r="AS166" s="286" t="s">
        <v>157</v>
      </c>
      <c r="AT166" s="3"/>
      <c r="AU166" s="3"/>
      <c r="AV166" s="3"/>
      <c r="AW166" s="3"/>
      <c r="AX166" s="3"/>
      <c r="AY166" s="3"/>
      <c r="AZ166" s="3"/>
      <c r="BA166" s="3"/>
      <c r="BB166" s="3"/>
      <c r="BC166" s="3"/>
    </row>
    <row r="167" ht="15.75" customHeight="1">
      <c r="C167" s="61"/>
      <c r="N167" s="63"/>
      <c r="R167" s="293"/>
      <c r="S167" s="74"/>
      <c r="T167" s="74"/>
      <c r="U167" s="74"/>
      <c r="V167" s="74"/>
      <c r="W167" s="74"/>
      <c r="X167" s="74"/>
      <c r="Y167" s="74"/>
      <c r="Z167" s="74"/>
      <c r="AA167" s="74"/>
      <c r="AB167" s="74"/>
      <c r="AC167" s="74"/>
      <c r="AD167" s="74"/>
      <c r="AE167" s="74"/>
      <c r="AF167" s="74"/>
      <c r="AG167" s="74"/>
      <c r="AH167" s="74"/>
      <c r="AI167" s="74"/>
      <c r="AJ167" s="74"/>
      <c r="AK167" s="74"/>
      <c r="AL167" s="74"/>
      <c r="AM167" s="74"/>
      <c r="AN167" s="74"/>
      <c r="AP167" s="12"/>
      <c r="AQ167" s="3" t="s">
        <v>177</v>
      </c>
      <c r="AR167" s="291" t="s">
        <v>178</v>
      </c>
      <c r="AS167" s="286" t="s">
        <v>157</v>
      </c>
      <c r="AT167" s="3"/>
      <c r="AU167" s="3"/>
      <c r="AV167" s="3"/>
      <c r="AW167" s="3"/>
      <c r="AX167" s="3"/>
      <c r="AY167" s="3"/>
      <c r="AZ167" s="3"/>
      <c r="BA167" s="3"/>
      <c r="BB167" s="3"/>
      <c r="BC167" s="3"/>
    </row>
    <row r="168" ht="15.75" customHeight="1">
      <c r="C168" s="61"/>
      <c r="N168" s="63"/>
      <c r="R168" s="293"/>
      <c r="S168" s="74"/>
      <c r="T168" s="74"/>
      <c r="U168" s="74"/>
      <c r="V168" s="74"/>
      <c r="W168" s="74"/>
      <c r="X168" s="74"/>
      <c r="Y168" s="74"/>
      <c r="Z168" s="74"/>
      <c r="AA168" s="74"/>
      <c r="AB168" s="74"/>
      <c r="AC168" s="74"/>
      <c r="AD168" s="74"/>
      <c r="AE168" s="74"/>
      <c r="AF168" s="74"/>
      <c r="AG168" s="74"/>
      <c r="AH168" s="74"/>
      <c r="AI168" s="74"/>
      <c r="AJ168" s="74"/>
      <c r="AK168" s="74"/>
      <c r="AL168" s="74"/>
      <c r="AM168" s="74"/>
      <c r="AN168" s="74"/>
      <c r="AP168" s="12"/>
      <c r="AQ168" s="3" t="s">
        <v>179</v>
      </c>
      <c r="AR168" s="291" t="s">
        <v>180</v>
      </c>
      <c r="AS168" s="286" t="s">
        <v>157</v>
      </c>
      <c r="AT168" s="3"/>
      <c r="AU168" s="3"/>
      <c r="AV168" s="3"/>
      <c r="AW168" s="3"/>
      <c r="AX168" s="3"/>
      <c r="AY168" s="3"/>
      <c r="AZ168" s="3"/>
      <c r="BA168" s="3"/>
      <c r="BB168" s="3"/>
      <c r="BC168" s="3"/>
    </row>
    <row r="169" ht="15.75" customHeight="1">
      <c r="C169" s="61"/>
      <c r="N169" s="63"/>
      <c r="R169" s="293"/>
      <c r="S169" s="74"/>
      <c r="T169" s="74"/>
      <c r="U169" s="74"/>
      <c r="V169" s="74"/>
      <c r="W169" s="74"/>
      <c r="X169" s="74"/>
      <c r="Y169" s="74"/>
      <c r="Z169" s="74"/>
      <c r="AA169" s="74"/>
      <c r="AB169" s="74"/>
      <c r="AC169" s="74"/>
      <c r="AD169" s="74"/>
      <c r="AE169" s="74"/>
      <c r="AF169" s="74"/>
      <c r="AG169" s="74"/>
      <c r="AH169" s="74"/>
      <c r="AI169" s="74"/>
      <c r="AJ169" s="74"/>
      <c r="AK169" s="74"/>
      <c r="AL169" s="74"/>
      <c r="AM169" s="74"/>
      <c r="AN169" s="74"/>
      <c r="AP169" s="12"/>
      <c r="AQ169" s="3" t="s">
        <v>181</v>
      </c>
      <c r="AR169" s="291" t="s">
        <v>182</v>
      </c>
      <c r="AS169" s="286" t="s">
        <v>157</v>
      </c>
      <c r="AT169" s="3"/>
      <c r="AU169" s="3"/>
      <c r="AV169" s="3"/>
      <c r="AW169" s="3"/>
      <c r="AX169" s="3"/>
      <c r="AY169" s="3"/>
      <c r="AZ169" s="3"/>
      <c r="BA169" s="3"/>
      <c r="BB169" s="3"/>
      <c r="BC169" s="3"/>
    </row>
    <row r="170" ht="15.75" customHeight="1">
      <c r="C170" s="294"/>
      <c r="D170" s="156"/>
      <c r="E170" s="156"/>
      <c r="F170" s="156"/>
      <c r="G170" s="156"/>
      <c r="H170" s="156"/>
      <c r="I170" s="156"/>
      <c r="J170" s="156"/>
      <c r="K170" s="156"/>
      <c r="L170" s="156"/>
      <c r="M170" s="156"/>
      <c r="N170" s="172"/>
      <c r="R170" s="295"/>
      <c r="AP170" s="12"/>
      <c r="AQ170" s="3" t="s">
        <v>183</v>
      </c>
      <c r="AR170" s="291" t="s">
        <v>184</v>
      </c>
      <c r="AS170" s="286" t="s">
        <v>157</v>
      </c>
      <c r="AT170" s="3"/>
      <c r="AU170" s="3"/>
      <c r="AV170" s="3"/>
      <c r="AW170" s="3"/>
      <c r="AX170" s="3"/>
      <c r="AY170" s="3"/>
      <c r="AZ170" s="3"/>
      <c r="BA170" s="3"/>
      <c r="BB170" s="3"/>
      <c r="BC170" s="3"/>
    </row>
    <row r="171" ht="15.75" customHeight="1">
      <c r="C171" s="175" t="s">
        <v>185</v>
      </c>
      <c r="D171" s="31"/>
      <c r="E171" s="31"/>
      <c r="F171" s="31"/>
      <c r="G171" s="31"/>
      <c r="H171" s="31"/>
      <c r="I171" s="31"/>
      <c r="J171" s="31"/>
      <c r="K171" s="31"/>
      <c r="L171" s="31"/>
      <c r="M171" s="31"/>
      <c r="N171" s="31"/>
      <c r="R171" s="293"/>
      <c r="S171" s="74"/>
      <c r="T171" s="74"/>
      <c r="U171" s="74"/>
      <c r="V171" s="74"/>
      <c r="W171" s="74"/>
      <c r="X171" s="74"/>
      <c r="Y171" s="74"/>
      <c r="Z171" s="74"/>
      <c r="AA171" s="74"/>
      <c r="AB171" s="74"/>
      <c r="AC171" s="74"/>
      <c r="AD171" s="74"/>
      <c r="AE171" s="74"/>
      <c r="AF171" s="74"/>
      <c r="AG171" s="74"/>
      <c r="AH171" s="74"/>
      <c r="AI171" s="74"/>
      <c r="AJ171" s="74"/>
      <c r="AK171" s="74"/>
      <c r="AL171" s="74"/>
      <c r="AM171" s="74"/>
      <c r="AN171" s="74"/>
      <c r="AP171" s="12"/>
      <c r="AQ171" s="3" t="s">
        <v>186</v>
      </c>
      <c r="AR171" s="291" t="s">
        <v>187</v>
      </c>
      <c r="AS171" s="286" t="s">
        <v>157</v>
      </c>
      <c r="AT171" s="8"/>
      <c r="AU171" s="8"/>
      <c r="AV171" s="8"/>
      <c r="AW171" s="8"/>
      <c r="AX171" s="3"/>
      <c r="AY171" s="3"/>
      <c r="AZ171" s="3"/>
      <c r="BA171" s="3"/>
      <c r="BB171" s="3"/>
      <c r="BC171" s="3"/>
    </row>
    <row r="172" ht="15.75" customHeight="1">
      <c r="C172" s="198" t="str">
        <f>IMAGE("https://i.imgur.com/Prga8uY.png",2)</f>
        <v/>
      </c>
      <c r="R172" s="293"/>
      <c r="S172" s="74"/>
      <c r="T172" s="74"/>
      <c r="U172" s="74"/>
      <c r="V172" s="74"/>
      <c r="W172" s="74"/>
      <c r="X172" s="74"/>
      <c r="Y172" s="74"/>
      <c r="Z172" s="74"/>
      <c r="AA172" s="74"/>
      <c r="AB172" s="74"/>
      <c r="AC172" s="74"/>
      <c r="AD172" s="74"/>
      <c r="AE172" s="74"/>
      <c r="AF172" s="74"/>
      <c r="AG172" s="74"/>
      <c r="AH172" s="74"/>
      <c r="AI172" s="74"/>
      <c r="AJ172" s="74"/>
      <c r="AK172" s="74"/>
      <c r="AL172" s="74"/>
      <c r="AM172" s="74"/>
      <c r="AN172" s="74"/>
      <c r="AP172" s="12"/>
      <c r="AQ172" s="3" t="s">
        <v>188</v>
      </c>
      <c r="AR172" s="291" t="s">
        <v>189</v>
      </c>
      <c r="AS172" s="286" t="s">
        <v>157</v>
      </c>
      <c r="AT172" s="8"/>
      <c r="AU172" s="8"/>
      <c r="AV172" s="8"/>
      <c r="AW172" s="8"/>
      <c r="AX172" s="3"/>
      <c r="AY172" s="3"/>
      <c r="AZ172" s="3"/>
      <c r="BA172" s="3"/>
      <c r="BB172" s="3"/>
      <c r="BC172" s="3"/>
    </row>
    <row r="173" ht="15.75" customHeight="1">
      <c r="A173" s="12"/>
      <c r="B173" s="147" t="str">
        <f>IMAGE("http://i.imgur.com/msQfMwc.png",2)</f>
        <v/>
      </c>
      <c r="C173" s="5"/>
      <c r="D173" s="5"/>
      <c r="E173" s="5"/>
      <c r="F173" s="5"/>
      <c r="G173" s="5"/>
      <c r="H173" s="5"/>
      <c r="I173" s="5"/>
      <c r="J173" s="5"/>
      <c r="K173" s="5"/>
      <c r="L173" s="5"/>
      <c r="M173" s="5"/>
      <c r="N173" s="5"/>
      <c r="O173" s="147" t="str">
        <f>IMAGE("http://i.imgur.com/546FbwO.png",2)</f>
        <v/>
      </c>
      <c r="P173" s="198"/>
      <c r="R173" s="293"/>
      <c r="S173" s="74"/>
      <c r="T173" s="74"/>
      <c r="U173" s="74"/>
      <c r="V173" s="74"/>
      <c r="W173" s="74"/>
      <c r="X173" s="74"/>
      <c r="Y173" s="74"/>
      <c r="Z173" s="74"/>
      <c r="AA173" s="74"/>
      <c r="AB173" s="74"/>
      <c r="AC173" s="74"/>
      <c r="AD173" s="74"/>
      <c r="AE173" s="74"/>
      <c r="AF173" s="74"/>
      <c r="AG173" s="74"/>
      <c r="AH173" s="74"/>
      <c r="AI173" s="74"/>
      <c r="AJ173" s="74"/>
      <c r="AK173" s="74"/>
      <c r="AL173" s="74"/>
      <c r="AM173" s="74"/>
      <c r="AN173" s="74"/>
      <c r="AP173" s="12"/>
      <c r="AQ173" s="3" t="s">
        <v>190</v>
      </c>
      <c r="AR173" s="291" t="s">
        <v>191</v>
      </c>
      <c r="AS173" s="286" t="s">
        <v>157</v>
      </c>
      <c r="AT173" s="8"/>
      <c r="AU173" s="8"/>
      <c r="AV173" s="8"/>
      <c r="AW173" s="8"/>
      <c r="AX173" s="3"/>
      <c r="AY173" s="3"/>
      <c r="AZ173" s="3"/>
      <c r="BA173" s="3"/>
      <c r="BB173" s="3"/>
      <c r="BC173" s="3"/>
    </row>
    <row r="174" ht="15.75" customHeight="1">
      <c r="A174" s="12"/>
      <c r="C174" s="296" t="s">
        <v>152</v>
      </c>
      <c r="D174" s="70"/>
      <c r="E174" s="70"/>
      <c r="F174" s="70"/>
      <c r="G174" s="70"/>
      <c r="H174" s="70"/>
      <c r="I174" s="297"/>
      <c r="J174" s="70"/>
      <c r="K174" s="70"/>
      <c r="L174" s="70"/>
      <c r="M174" s="70"/>
      <c r="N174" s="70"/>
      <c r="P174" s="198"/>
      <c r="R174" s="293"/>
      <c r="S174" s="74"/>
      <c r="T174" s="74"/>
      <c r="U174" s="74"/>
      <c r="V174" s="74"/>
      <c r="W174" s="74"/>
      <c r="X174" s="74"/>
      <c r="Y174" s="74"/>
      <c r="Z174" s="74"/>
      <c r="AA174" s="74"/>
      <c r="AB174" s="74"/>
      <c r="AC174" s="74"/>
      <c r="AD174" s="74"/>
      <c r="AE174" s="74"/>
      <c r="AF174" s="74"/>
      <c r="AG174" s="74"/>
      <c r="AH174" s="74"/>
      <c r="AI174" s="74"/>
      <c r="AJ174" s="74"/>
      <c r="AK174" s="74"/>
      <c r="AL174" s="74"/>
      <c r="AM174" s="74"/>
      <c r="AN174" s="74"/>
      <c r="AP174" s="12"/>
      <c r="AQ174" s="3" t="s">
        <v>192</v>
      </c>
      <c r="AR174" s="291" t="s">
        <v>193</v>
      </c>
      <c r="AS174" s="286" t="s">
        <v>157</v>
      </c>
      <c r="AT174" s="8"/>
      <c r="AU174" s="8"/>
      <c r="AV174" s="8"/>
      <c r="AW174" s="8"/>
      <c r="AX174" s="3"/>
      <c r="AY174" s="3"/>
      <c r="AZ174" s="3"/>
      <c r="BA174" s="3"/>
      <c r="BB174" s="3"/>
      <c r="BC174" s="3"/>
    </row>
    <row r="175" ht="15.75" customHeight="1">
      <c r="A175" s="12"/>
      <c r="C175" s="23" t="s">
        <v>194</v>
      </c>
      <c r="I175" s="23" t="s">
        <v>195</v>
      </c>
      <c r="P175" s="198"/>
      <c r="R175" s="293"/>
      <c r="S175" s="74"/>
      <c r="T175" s="74"/>
      <c r="U175" s="74"/>
      <c r="V175" s="74"/>
      <c r="W175" s="74"/>
      <c r="X175" s="74"/>
      <c r="Y175" s="74"/>
      <c r="Z175" s="74"/>
      <c r="AA175" s="74"/>
      <c r="AB175" s="74"/>
      <c r="AC175" s="74"/>
      <c r="AD175" s="74"/>
      <c r="AE175" s="74"/>
      <c r="AF175" s="74"/>
      <c r="AG175" s="74"/>
      <c r="AH175" s="74"/>
      <c r="AI175" s="74"/>
      <c r="AJ175" s="74"/>
      <c r="AK175" s="74"/>
      <c r="AL175" s="74"/>
      <c r="AM175" s="74"/>
      <c r="AN175" s="74"/>
      <c r="AP175" s="12"/>
      <c r="AQ175" s="13" t="s">
        <v>196</v>
      </c>
      <c r="AR175" s="282" t="s">
        <v>197</v>
      </c>
      <c r="AS175" s="286" t="s">
        <v>157</v>
      </c>
      <c r="AT175" s="3"/>
      <c r="AU175" s="3"/>
      <c r="AV175" s="3"/>
      <c r="AW175" s="3"/>
      <c r="AX175" s="3"/>
      <c r="AY175" s="3"/>
      <c r="AZ175" s="3"/>
      <c r="BA175" s="3"/>
      <c r="BB175" s="3"/>
      <c r="BC175" s="3"/>
    </row>
    <row r="176" ht="15.75" customHeight="1">
      <c r="A176" s="12"/>
      <c r="C176" s="298"/>
      <c r="D176" s="166"/>
      <c r="E176" s="166"/>
      <c r="F176" s="166"/>
      <c r="G176" s="166"/>
      <c r="H176" s="166"/>
      <c r="I176" s="298"/>
      <c r="J176" s="166"/>
      <c r="K176" s="166"/>
      <c r="L176" s="166"/>
      <c r="M176" s="166"/>
      <c r="N176" s="166"/>
      <c r="P176" s="198"/>
      <c r="R176" s="293"/>
      <c r="S176" s="74"/>
      <c r="T176" s="74"/>
      <c r="U176" s="74"/>
      <c r="V176" s="74"/>
      <c r="W176" s="74"/>
      <c r="X176" s="74"/>
      <c r="Y176" s="74"/>
      <c r="Z176" s="74"/>
      <c r="AA176" s="74"/>
      <c r="AB176" s="74"/>
      <c r="AC176" s="74"/>
      <c r="AD176" s="74"/>
      <c r="AE176" s="74"/>
      <c r="AF176" s="74"/>
      <c r="AG176" s="74"/>
      <c r="AH176" s="74"/>
      <c r="AI176" s="74"/>
      <c r="AJ176" s="74"/>
      <c r="AK176" s="74"/>
      <c r="AL176" s="74"/>
      <c r="AM176" s="74"/>
      <c r="AN176" s="74"/>
      <c r="AP176" s="12"/>
      <c r="AQ176" s="13"/>
      <c r="AR176" s="13"/>
      <c r="AS176" s="13"/>
      <c r="AT176" s="3"/>
      <c r="AU176" s="3"/>
      <c r="AV176" s="3"/>
      <c r="AW176" s="3"/>
      <c r="AX176" s="3"/>
      <c r="AY176" s="3"/>
      <c r="AZ176" s="3"/>
      <c r="BA176" s="3"/>
      <c r="BB176" s="3"/>
      <c r="BC176" s="3"/>
    </row>
    <row r="177" ht="15.75" customHeight="1">
      <c r="A177" s="12"/>
      <c r="C177" s="23" t="s">
        <v>198</v>
      </c>
      <c r="I177" s="23" t="s">
        <v>199</v>
      </c>
      <c r="P177" s="198"/>
      <c r="R177" s="293"/>
      <c r="S177" s="74"/>
      <c r="T177" s="74"/>
      <c r="U177" s="74"/>
      <c r="V177" s="74"/>
      <c r="W177" s="74"/>
      <c r="X177" s="74"/>
      <c r="Y177" s="74"/>
      <c r="Z177" s="74"/>
      <c r="AA177" s="74"/>
      <c r="AB177" s="74"/>
      <c r="AC177" s="74"/>
      <c r="AD177" s="74"/>
      <c r="AE177" s="74"/>
      <c r="AF177" s="74"/>
      <c r="AG177" s="74"/>
      <c r="AH177" s="74"/>
      <c r="AI177" s="74"/>
      <c r="AJ177" s="74"/>
      <c r="AK177" s="74"/>
      <c r="AL177" s="74"/>
      <c r="AM177" s="74"/>
      <c r="AN177" s="74"/>
      <c r="AP177" s="12"/>
      <c r="AQ177" s="13"/>
      <c r="AR177" s="13"/>
      <c r="AS177" s="13"/>
      <c r="AT177" s="3"/>
      <c r="AU177" s="3"/>
      <c r="AV177" s="3"/>
      <c r="AW177" s="3"/>
      <c r="AX177" s="3"/>
      <c r="AY177" s="3"/>
      <c r="AZ177" s="3"/>
      <c r="BA177" s="3"/>
      <c r="BB177" s="3"/>
      <c r="BC177" s="3"/>
    </row>
    <row r="178" ht="15.75" customHeight="1">
      <c r="A178" s="12"/>
      <c r="C178" s="175" t="s">
        <v>200</v>
      </c>
      <c r="D178" s="31"/>
      <c r="E178" s="31"/>
      <c r="F178" s="31"/>
      <c r="G178" s="31"/>
      <c r="H178" s="31"/>
      <c r="I178" s="31"/>
      <c r="J178" s="31"/>
      <c r="K178" s="31"/>
      <c r="L178" s="31"/>
      <c r="M178" s="31"/>
      <c r="N178" s="31"/>
      <c r="P178" s="198"/>
      <c r="R178" s="197" t="s">
        <v>201</v>
      </c>
      <c r="S178" s="84"/>
      <c r="T178" s="84"/>
      <c r="U178" s="84"/>
      <c r="V178" s="84"/>
      <c r="W178" s="84"/>
      <c r="X178" s="84"/>
      <c r="Y178" s="84"/>
      <c r="Z178" s="84"/>
      <c r="AA178" s="84"/>
      <c r="AB178" s="84"/>
      <c r="AC178" s="84"/>
      <c r="AD178" s="84"/>
      <c r="AE178" s="84"/>
      <c r="AF178" s="84"/>
      <c r="AG178" s="84"/>
      <c r="AH178" s="84"/>
      <c r="AI178" s="84"/>
      <c r="AJ178" s="84"/>
      <c r="AK178" s="84"/>
      <c r="AL178" s="84"/>
      <c r="AM178" s="84"/>
      <c r="AN178" s="84"/>
      <c r="AP178" s="12"/>
      <c r="AQ178" s="13"/>
      <c r="AR178" s="13"/>
      <c r="AS178" s="13"/>
      <c r="AT178" s="3"/>
      <c r="AU178" s="3"/>
      <c r="AV178" s="3"/>
      <c r="AW178" s="3"/>
      <c r="AX178" s="3"/>
      <c r="AY178" s="3"/>
      <c r="AZ178" s="3"/>
      <c r="BA178" s="3"/>
      <c r="BB178" s="3"/>
      <c r="BC178" s="3"/>
    </row>
    <row r="179" ht="15.75" customHeight="1">
      <c r="A179" s="12"/>
      <c r="C179" s="5"/>
      <c r="D179" s="5"/>
      <c r="E179" s="5"/>
      <c r="F179" s="5"/>
      <c r="G179" s="5"/>
      <c r="H179" s="5"/>
      <c r="I179" s="5"/>
      <c r="J179" s="5"/>
      <c r="K179" s="5"/>
      <c r="L179" s="5"/>
      <c r="M179" s="5"/>
      <c r="N179" s="5"/>
      <c r="P179" s="299"/>
      <c r="R179" s="5"/>
      <c r="S179" s="5"/>
      <c r="T179" s="5"/>
      <c r="U179" s="5"/>
      <c r="V179" s="5"/>
      <c r="W179" s="5"/>
      <c r="X179" s="5"/>
      <c r="Y179" s="5"/>
      <c r="Z179" s="5"/>
      <c r="AA179" s="5"/>
      <c r="AB179" s="5"/>
      <c r="AC179" s="5"/>
      <c r="AD179" s="5"/>
      <c r="AE179" s="5"/>
      <c r="AF179" s="5"/>
      <c r="AG179" s="5"/>
      <c r="AH179" s="5"/>
      <c r="AI179" s="5"/>
      <c r="AJ179" s="5"/>
      <c r="AK179" s="5"/>
      <c r="AL179" s="5"/>
      <c r="AM179" s="5"/>
      <c r="AN179" s="5"/>
      <c r="AP179" s="12"/>
      <c r="AQ179" s="3"/>
      <c r="AR179" s="3"/>
      <c r="AS179" s="3"/>
      <c r="AT179" s="3"/>
      <c r="AU179" s="3"/>
      <c r="AV179" s="3"/>
      <c r="AW179" s="3"/>
      <c r="AX179" s="3"/>
      <c r="AY179" s="3"/>
      <c r="AZ179" s="3"/>
      <c r="BA179" s="3"/>
      <c r="BB179" s="3"/>
      <c r="BC179" s="3"/>
    </row>
    <row r="180" ht="15.75" customHeight="1">
      <c r="A180" s="12"/>
      <c r="B180" s="300" t="s">
        <v>202</v>
      </c>
      <c r="AP180" s="12"/>
      <c r="AQ180" s="3"/>
      <c r="AR180" s="3"/>
      <c r="AS180" s="3"/>
      <c r="AT180" s="3"/>
      <c r="AU180" s="3"/>
      <c r="AV180" s="3"/>
      <c r="AW180" s="3"/>
      <c r="AX180" s="3"/>
      <c r="AY180" s="3"/>
      <c r="AZ180" s="3"/>
      <c r="BA180" s="3"/>
      <c r="BB180" s="3"/>
      <c r="BC180" s="3"/>
    </row>
  </sheetData>
  <mergeCells count="617">
    <mergeCell ref="R11:S11"/>
    <mergeCell ref="R15:S15"/>
    <mergeCell ref="H11:I12"/>
    <mergeCell ref="J11:J12"/>
    <mergeCell ref="V11:W11"/>
    <mergeCell ref="X11:X15"/>
    <mergeCell ref="Y11:Y15"/>
    <mergeCell ref="Z11:AA11"/>
    <mergeCell ref="C15:D15"/>
    <mergeCell ref="T5:AD5"/>
    <mergeCell ref="AE5:AJ5"/>
    <mergeCell ref="AK5:AK8"/>
    <mergeCell ref="AL5:AM5"/>
    <mergeCell ref="AL6:AM7"/>
    <mergeCell ref="AL8:AM8"/>
    <mergeCell ref="T6:AD6"/>
    <mergeCell ref="AE6:AJ6"/>
    <mergeCell ref="T7:AD7"/>
    <mergeCell ref="AE7:AG7"/>
    <mergeCell ref="A1:AP1"/>
    <mergeCell ref="AQ1:AR1"/>
    <mergeCell ref="T2:AM2"/>
    <mergeCell ref="T3:AM3"/>
    <mergeCell ref="S4:AN4"/>
    <mergeCell ref="AO4:AO8"/>
    <mergeCell ref="AN5:AN8"/>
    <mergeCell ref="AE11:AI11"/>
    <mergeCell ref="AJ11:AN11"/>
    <mergeCell ref="AH7:AJ7"/>
    <mergeCell ref="T8:AD8"/>
    <mergeCell ref="AE8:AG8"/>
    <mergeCell ref="AH8:AJ8"/>
    <mergeCell ref="S9:AN9"/>
    <mergeCell ref="Q10:AB10"/>
    <mergeCell ref="AD10:AO10"/>
    <mergeCell ref="Z12:AA13"/>
    <mergeCell ref="AE12:AN12"/>
    <mergeCell ref="AE13:AN13"/>
    <mergeCell ref="V15:W15"/>
    <mergeCell ref="Z15:AA15"/>
    <mergeCell ref="R14:S14"/>
    <mergeCell ref="R16:T16"/>
    <mergeCell ref="AE15:AN15"/>
    <mergeCell ref="AE16:AN16"/>
    <mergeCell ref="R17:AA18"/>
    <mergeCell ref="AE17:AN17"/>
    <mergeCell ref="AE18:AN18"/>
    <mergeCell ref="R19:AA19"/>
    <mergeCell ref="AE19:AN19"/>
    <mergeCell ref="R20:T20"/>
    <mergeCell ref="U20:AA20"/>
    <mergeCell ref="O10:O47"/>
    <mergeCell ref="Q11:Q28"/>
    <mergeCell ref="H14:I15"/>
    <mergeCell ref="J14:J15"/>
    <mergeCell ref="H43:N43"/>
    <mergeCell ref="V12:W13"/>
    <mergeCell ref="V14:W14"/>
    <mergeCell ref="V24:V28"/>
    <mergeCell ref="W24:W28"/>
    <mergeCell ref="B10:E10"/>
    <mergeCell ref="C17:D17"/>
    <mergeCell ref="J17:N17"/>
    <mergeCell ref="C18:D19"/>
    <mergeCell ref="AE23:AN23"/>
    <mergeCell ref="AE24:AN24"/>
    <mergeCell ref="Q29:AB29"/>
    <mergeCell ref="B42:E42"/>
    <mergeCell ref="B44:B47"/>
    <mergeCell ref="E44:E47"/>
    <mergeCell ref="C45:D46"/>
    <mergeCell ref="F45:N46"/>
    <mergeCell ref="C12:D12"/>
    <mergeCell ref="C13:D14"/>
    <mergeCell ref="C33:D34"/>
    <mergeCell ref="C35:D35"/>
    <mergeCell ref="C37:D37"/>
    <mergeCell ref="C38:D39"/>
    <mergeCell ref="C40:D40"/>
    <mergeCell ref="G10:G44"/>
    <mergeCell ref="E11:E41"/>
    <mergeCell ref="A2:R5"/>
    <mergeCell ref="B6:B7"/>
    <mergeCell ref="C6:R7"/>
    <mergeCell ref="A8:R9"/>
    <mergeCell ref="K11:N12"/>
    <mergeCell ref="K14:N15"/>
    <mergeCell ref="Q30:Q58"/>
    <mergeCell ref="J18:N18"/>
    <mergeCell ref="J19:N19"/>
    <mergeCell ref="C20:D20"/>
    <mergeCell ref="J20:N20"/>
    <mergeCell ref="J21:N21"/>
    <mergeCell ref="C22:D22"/>
    <mergeCell ref="J22:N22"/>
    <mergeCell ref="C23:D24"/>
    <mergeCell ref="H23:N23"/>
    <mergeCell ref="C25:D25"/>
    <mergeCell ref="C27:D27"/>
    <mergeCell ref="C28:D29"/>
    <mergeCell ref="C30:D30"/>
    <mergeCell ref="B11:B41"/>
    <mergeCell ref="C32:D32"/>
    <mergeCell ref="AC33:AN33"/>
    <mergeCell ref="AC34:AN34"/>
    <mergeCell ref="AC35:AN35"/>
    <mergeCell ref="AC36:AN36"/>
    <mergeCell ref="Y35:AA35"/>
    <mergeCell ref="Y36:AA36"/>
    <mergeCell ref="R37:AN37"/>
    <mergeCell ref="R38:AN38"/>
    <mergeCell ref="R39:AN39"/>
    <mergeCell ref="R40:AN40"/>
    <mergeCell ref="R41:AN41"/>
    <mergeCell ref="C69:N69"/>
    <mergeCell ref="P69:AA69"/>
    <mergeCell ref="C70:N70"/>
    <mergeCell ref="P70:AA70"/>
    <mergeCell ref="C71:N71"/>
    <mergeCell ref="P71:AA71"/>
    <mergeCell ref="C72:N72"/>
    <mergeCell ref="P72:AA72"/>
    <mergeCell ref="C73:N73"/>
    <mergeCell ref="P73:AA73"/>
    <mergeCell ref="C74:N74"/>
    <mergeCell ref="P74:AA74"/>
    <mergeCell ref="C75:N75"/>
    <mergeCell ref="P75:AA75"/>
    <mergeCell ref="C76:N76"/>
    <mergeCell ref="P76:AA76"/>
    <mergeCell ref="C77:N77"/>
    <mergeCell ref="P77:AA77"/>
    <mergeCell ref="C78:N78"/>
    <mergeCell ref="P78:AA78"/>
    <mergeCell ref="C79:N79"/>
    <mergeCell ref="P79:AA79"/>
    <mergeCell ref="C80:N80"/>
    <mergeCell ref="P80:AA80"/>
    <mergeCell ref="C81:N81"/>
    <mergeCell ref="P81:AA81"/>
    <mergeCell ref="C82:N82"/>
    <mergeCell ref="P82:AA82"/>
    <mergeCell ref="R35:W35"/>
    <mergeCell ref="P59:AA59"/>
    <mergeCell ref="C83:N83"/>
    <mergeCell ref="P83:AA83"/>
    <mergeCell ref="C84:N84"/>
    <mergeCell ref="P84:AA84"/>
    <mergeCell ref="R32:W32"/>
    <mergeCell ref="R33:W33"/>
    <mergeCell ref="Y33:AA33"/>
    <mergeCell ref="R34:W34"/>
    <mergeCell ref="Y34:AA34"/>
    <mergeCell ref="B48:B86"/>
    <mergeCell ref="O59:O85"/>
    <mergeCell ref="P85:AA85"/>
    <mergeCell ref="A87:R90"/>
    <mergeCell ref="U90:X90"/>
    <mergeCell ref="C91:R92"/>
    <mergeCell ref="U91:X92"/>
    <mergeCell ref="A93:R94"/>
    <mergeCell ref="U93:X93"/>
    <mergeCell ref="D100:J100"/>
    <mergeCell ref="D101:J101"/>
    <mergeCell ref="N104:T104"/>
    <mergeCell ref="N106:T106"/>
    <mergeCell ref="B133:B136"/>
    <mergeCell ref="B137:B140"/>
    <mergeCell ref="C137:D140"/>
    <mergeCell ref="B141:B144"/>
    <mergeCell ref="B148:B151"/>
    <mergeCell ref="B154:B172"/>
    <mergeCell ref="B173:B179"/>
    <mergeCell ref="B100:B105"/>
    <mergeCell ref="B106:B111"/>
    <mergeCell ref="C106:D109"/>
    <mergeCell ref="B112:B117"/>
    <mergeCell ref="B118:B122"/>
    <mergeCell ref="C118:D121"/>
    <mergeCell ref="B123:B127"/>
    <mergeCell ref="I129:J130"/>
    <mergeCell ref="D133:J133"/>
    <mergeCell ref="K133:L135"/>
    <mergeCell ref="D134:J134"/>
    <mergeCell ref="D135:J135"/>
    <mergeCell ref="E137:F137"/>
    <mergeCell ref="G137:H140"/>
    <mergeCell ref="E138:F139"/>
    <mergeCell ref="D141:J141"/>
    <mergeCell ref="K141:L143"/>
    <mergeCell ref="D142:J142"/>
    <mergeCell ref="D143:J143"/>
    <mergeCell ref="B147:O147"/>
    <mergeCell ref="C148:E148"/>
    <mergeCell ref="L148:N148"/>
    <mergeCell ref="F150:H150"/>
    <mergeCell ref="I150:K150"/>
    <mergeCell ref="F148:H148"/>
    <mergeCell ref="I148:K148"/>
    <mergeCell ref="C149:E149"/>
    <mergeCell ref="F149:H149"/>
    <mergeCell ref="I149:K149"/>
    <mergeCell ref="L149:N149"/>
    <mergeCell ref="L150:N150"/>
    <mergeCell ref="C150:E150"/>
    <mergeCell ref="C151:E151"/>
    <mergeCell ref="F151:H151"/>
    <mergeCell ref="I151:K151"/>
    <mergeCell ref="L151:N151"/>
    <mergeCell ref="B152:O152"/>
    <mergeCell ref="C154:N154"/>
    <mergeCell ref="C176:H176"/>
    <mergeCell ref="I176:N176"/>
    <mergeCell ref="C177:H177"/>
    <mergeCell ref="I177:N177"/>
    <mergeCell ref="C178:N178"/>
    <mergeCell ref="C155:N170"/>
    <mergeCell ref="C171:N171"/>
    <mergeCell ref="C172:N172"/>
    <mergeCell ref="C174:H174"/>
    <mergeCell ref="I174:N174"/>
    <mergeCell ref="C175:H175"/>
    <mergeCell ref="I175:N175"/>
    <mergeCell ref="B91:B92"/>
    <mergeCell ref="B95:B99"/>
    <mergeCell ref="C96:E99"/>
    <mergeCell ref="K96:K99"/>
    <mergeCell ref="F97:J98"/>
    <mergeCell ref="K100:L104"/>
    <mergeCell ref="D104:J104"/>
    <mergeCell ref="D102:J102"/>
    <mergeCell ref="D103:J103"/>
    <mergeCell ref="E106:F106"/>
    <mergeCell ref="G106:H109"/>
    <mergeCell ref="I106:J106"/>
    <mergeCell ref="K106:K109"/>
    <mergeCell ref="E107:F108"/>
    <mergeCell ref="I107:J108"/>
    <mergeCell ref="D112:J112"/>
    <mergeCell ref="K112:L116"/>
    <mergeCell ref="D113:J113"/>
    <mergeCell ref="D114:J114"/>
    <mergeCell ref="D115:J115"/>
    <mergeCell ref="D116:J116"/>
    <mergeCell ref="D123:J123"/>
    <mergeCell ref="D124:J124"/>
    <mergeCell ref="D125:J125"/>
    <mergeCell ref="D126:J126"/>
    <mergeCell ref="E118:F118"/>
    <mergeCell ref="G118:H121"/>
    <mergeCell ref="I118:J118"/>
    <mergeCell ref="K118:K121"/>
    <mergeCell ref="E119:F120"/>
    <mergeCell ref="I119:J120"/>
    <mergeCell ref="K123:L126"/>
    <mergeCell ref="B128:B132"/>
    <mergeCell ref="C128:D131"/>
    <mergeCell ref="E128:F128"/>
    <mergeCell ref="G128:H131"/>
    <mergeCell ref="I128:J128"/>
    <mergeCell ref="K128:K131"/>
    <mergeCell ref="E129:F130"/>
    <mergeCell ref="I137:J137"/>
    <mergeCell ref="K137:K140"/>
    <mergeCell ref="I138:J139"/>
    <mergeCell ref="N142:T142"/>
    <mergeCell ref="N143:T143"/>
    <mergeCell ref="Q146:Q179"/>
    <mergeCell ref="O148:O151"/>
    <mergeCell ref="O154:O172"/>
    <mergeCell ref="O173:O179"/>
    <mergeCell ref="N133:T133"/>
    <mergeCell ref="N134:T134"/>
    <mergeCell ref="N135:T135"/>
    <mergeCell ref="N137:T137"/>
    <mergeCell ref="N138:T138"/>
    <mergeCell ref="N139:T139"/>
    <mergeCell ref="N141:T141"/>
    <mergeCell ref="N102:T102"/>
    <mergeCell ref="N103:T103"/>
    <mergeCell ref="N96:T96"/>
    <mergeCell ref="U96:V98"/>
    <mergeCell ref="N97:T97"/>
    <mergeCell ref="N98:T98"/>
    <mergeCell ref="N100:T100"/>
    <mergeCell ref="U100:V104"/>
    <mergeCell ref="N101:T101"/>
    <mergeCell ref="N113:T113"/>
    <mergeCell ref="N114:T114"/>
    <mergeCell ref="U106:V110"/>
    <mergeCell ref="N107:T107"/>
    <mergeCell ref="N108:T108"/>
    <mergeCell ref="N109:T109"/>
    <mergeCell ref="N110:T110"/>
    <mergeCell ref="N112:T112"/>
    <mergeCell ref="U112:V116"/>
    <mergeCell ref="U118:V121"/>
    <mergeCell ref="U123:V126"/>
    <mergeCell ref="U128:V131"/>
    <mergeCell ref="U133:V135"/>
    <mergeCell ref="U137:V139"/>
    <mergeCell ref="U141:V143"/>
    <mergeCell ref="N115:T115"/>
    <mergeCell ref="N116:T116"/>
    <mergeCell ref="N118:T118"/>
    <mergeCell ref="N119:T119"/>
    <mergeCell ref="N120:T120"/>
    <mergeCell ref="N121:T121"/>
    <mergeCell ref="N123:T123"/>
    <mergeCell ref="N124:T124"/>
    <mergeCell ref="N125:T125"/>
    <mergeCell ref="N126:T126"/>
    <mergeCell ref="N128:T128"/>
    <mergeCell ref="N129:T129"/>
    <mergeCell ref="N130:T130"/>
    <mergeCell ref="N131:T131"/>
    <mergeCell ref="AF90:AF93"/>
    <mergeCell ref="AB93:AE93"/>
    <mergeCell ref="AA90:AA93"/>
    <mergeCell ref="AG90:AG93"/>
    <mergeCell ref="AH90:AH93"/>
    <mergeCell ref="AI90:AL90"/>
    <mergeCell ref="AM90:AM93"/>
    <mergeCell ref="AN90:AN93"/>
    <mergeCell ref="AI91:AL92"/>
    <mergeCell ref="AI93:AL93"/>
    <mergeCell ref="AK100:AL100"/>
    <mergeCell ref="AM100:AN103"/>
    <mergeCell ref="AK101:AL102"/>
    <mergeCell ref="AB90:AE90"/>
    <mergeCell ref="AB91:AE92"/>
    <mergeCell ref="AE96:AF98"/>
    <mergeCell ref="AH96:AN96"/>
    <mergeCell ref="AH97:AN97"/>
    <mergeCell ref="AH98:AN98"/>
    <mergeCell ref="AF100:AF103"/>
    <mergeCell ref="AG101:AH102"/>
    <mergeCell ref="AI112:AJ115"/>
    <mergeCell ref="AM112:AN115"/>
    <mergeCell ref="AG113:AH114"/>
    <mergeCell ref="AK113:AL114"/>
    <mergeCell ref="AG100:AH100"/>
    <mergeCell ref="AI100:AJ103"/>
    <mergeCell ref="AH106:AN106"/>
    <mergeCell ref="AH107:AN107"/>
    <mergeCell ref="AH108:AN108"/>
    <mergeCell ref="AH109:AN109"/>
    <mergeCell ref="AH110:AN110"/>
    <mergeCell ref="AO123:AO127"/>
    <mergeCell ref="AO128:AO132"/>
    <mergeCell ref="AO137:AO140"/>
    <mergeCell ref="AO146:AO179"/>
    <mergeCell ref="AO30:AO86"/>
    <mergeCell ref="AO89:AO93"/>
    <mergeCell ref="AO95:AO99"/>
    <mergeCell ref="AO100:AO105"/>
    <mergeCell ref="AO106:AO111"/>
    <mergeCell ref="AO112:AO117"/>
    <mergeCell ref="AO118:AO122"/>
    <mergeCell ref="AH129:AN129"/>
    <mergeCell ref="AH130:AN130"/>
    <mergeCell ref="AF123:AF126"/>
    <mergeCell ref="AI123:AJ126"/>
    <mergeCell ref="AM123:AN126"/>
    <mergeCell ref="AG124:AH125"/>
    <mergeCell ref="AK124:AL125"/>
    <mergeCell ref="AH128:AN128"/>
    <mergeCell ref="AH131:AN131"/>
    <mergeCell ref="AK142:AL143"/>
    <mergeCell ref="AD147:AN148"/>
    <mergeCell ref="AF149:AL149"/>
    <mergeCell ref="AE137:AF139"/>
    <mergeCell ref="AH137:AN137"/>
    <mergeCell ref="AH138:AN138"/>
    <mergeCell ref="AH139:AN139"/>
    <mergeCell ref="AF141:AF144"/>
    <mergeCell ref="AM141:AN144"/>
    <mergeCell ref="AO141:AO144"/>
    <mergeCell ref="AD161:AN161"/>
    <mergeCell ref="AD162:AN162"/>
    <mergeCell ref="AI141:AJ144"/>
    <mergeCell ref="AG142:AH143"/>
    <mergeCell ref="AC147:AC162"/>
    <mergeCell ref="AD149:AD158"/>
    <mergeCell ref="AN149:AN158"/>
    <mergeCell ref="AE150:AM158"/>
    <mergeCell ref="AD159:AN160"/>
    <mergeCell ref="AC45:AN45"/>
    <mergeCell ref="AC59:AN59"/>
    <mergeCell ref="AC78:AN78"/>
    <mergeCell ref="AC79:AN79"/>
    <mergeCell ref="AC80:AN80"/>
    <mergeCell ref="AC81:AN81"/>
    <mergeCell ref="AC82:AN82"/>
    <mergeCell ref="AC83:AN83"/>
    <mergeCell ref="AE28:AI28"/>
    <mergeCell ref="AJ28:AN28"/>
    <mergeCell ref="AD29:AO29"/>
    <mergeCell ref="AA44:AB58"/>
    <mergeCell ref="AC44:AN44"/>
    <mergeCell ref="AB59:AB85"/>
    <mergeCell ref="AC84:AN84"/>
    <mergeCell ref="AE106:AF110"/>
    <mergeCell ref="AF112:AF115"/>
    <mergeCell ref="AE118:AF121"/>
    <mergeCell ref="AH118:AN118"/>
    <mergeCell ref="AH119:AN119"/>
    <mergeCell ref="AH120:AN120"/>
    <mergeCell ref="AH121:AN121"/>
    <mergeCell ref="AE128:AF131"/>
    <mergeCell ref="AF133:AF136"/>
    <mergeCell ref="AI133:AJ136"/>
    <mergeCell ref="AM133:AN136"/>
    <mergeCell ref="AO133:AO136"/>
    <mergeCell ref="AG134:AH135"/>
    <mergeCell ref="AK134:AL135"/>
    <mergeCell ref="Z90:Z93"/>
    <mergeCell ref="S94:AN94"/>
    <mergeCell ref="AC76:AN76"/>
    <mergeCell ref="AC77:AN77"/>
    <mergeCell ref="C86:AN86"/>
    <mergeCell ref="S89:AN89"/>
    <mergeCell ref="S90:S93"/>
    <mergeCell ref="T90:T93"/>
    <mergeCell ref="Y90:Y93"/>
    <mergeCell ref="AC64:AN64"/>
    <mergeCell ref="AC65:AN65"/>
    <mergeCell ref="AC66:AN66"/>
    <mergeCell ref="AC67:AN67"/>
    <mergeCell ref="AC68:AN68"/>
    <mergeCell ref="AC69:AN69"/>
    <mergeCell ref="AC70:AN70"/>
    <mergeCell ref="AC71:AN71"/>
    <mergeCell ref="AC72:AN72"/>
    <mergeCell ref="AC73:AN73"/>
    <mergeCell ref="AC74:AN74"/>
    <mergeCell ref="AC75:AN75"/>
    <mergeCell ref="C95:AN95"/>
    <mergeCell ref="X96:AD96"/>
    <mergeCell ref="X97:AD97"/>
    <mergeCell ref="X98:AD98"/>
    <mergeCell ref="X100:AD100"/>
    <mergeCell ref="X101:AD101"/>
    <mergeCell ref="X102:AD102"/>
    <mergeCell ref="X24:AA24"/>
    <mergeCell ref="AE25:AN25"/>
    <mergeCell ref="Z14:AA14"/>
    <mergeCell ref="AE14:AN14"/>
    <mergeCell ref="AE21:AN21"/>
    <mergeCell ref="AE22:AN22"/>
    <mergeCell ref="R23:AA23"/>
    <mergeCell ref="R24:U24"/>
    <mergeCell ref="R25:U26"/>
    <mergeCell ref="AE20:AN20"/>
    <mergeCell ref="R21:AA22"/>
    <mergeCell ref="AE26:AN26"/>
    <mergeCell ref="R27:U27"/>
    <mergeCell ref="X27:AA27"/>
    <mergeCell ref="AE27:AN27"/>
    <mergeCell ref="T11:T15"/>
    <mergeCell ref="U11:U15"/>
    <mergeCell ref="AB11:AB28"/>
    <mergeCell ref="AD11:AD28"/>
    <mergeCell ref="AO11:AO28"/>
    <mergeCell ref="R12:S13"/>
    <mergeCell ref="U16:AA16"/>
    <mergeCell ref="R28:U28"/>
    <mergeCell ref="X28:AA28"/>
    <mergeCell ref="R31:W31"/>
    <mergeCell ref="Y31:AA31"/>
    <mergeCell ref="AC31:AN31"/>
    <mergeCell ref="Y32:AA32"/>
    <mergeCell ref="AC32:AN32"/>
    <mergeCell ref="R42:AN42"/>
    <mergeCell ref="R43:AN43"/>
    <mergeCell ref="R45:Y45"/>
    <mergeCell ref="R46:Z46"/>
    <mergeCell ref="R47:Z47"/>
    <mergeCell ref="AC46:AN46"/>
    <mergeCell ref="AC47:AN47"/>
    <mergeCell ref="AC48:AN48"/>
    <mergeCell ref="AC49:AN49"/>
    <mergeCell ref="O48:O57"/>
    <mergeCell ref="R48:Z48"/>
    <mergeCell ref="R49:Z49"/>
    <mergeCell ref="R50:Z50"/>
    <mergeCell ref="R51:Z51"/>
    <mergeCell ref="R52:Z52"/>
    <mergeCell ref="R53:Z53"/>
    <mergeCell ref="C49:H49"/>
    <mergeCell ref="I49:N49"/>
    <mergeCell ref="C50:H50"/>
    <mergeCell ref="I50:N50"/>
    <mergeCell ref="C51:H51"/>
    <mergeCell ref="I51:N51"/>
    <mergeCell ref="C52:H52"/>
    <mergeCell ref="I52:N52"/>
    <mergeCell ref="C53:H53"/>
    <mergeCell ref="I53:N53"/>
    <mergeCell ref="C54:H54"/>
    <mergeCell ref="I54:N54"/>
    <mergeCell ref="R36:W36"/>
    <mergeCell ref="C48:N48"/>
    <mergeCell ref="R54:Z54"/>
    <mergeCell ref="C55:H55"/>
    <mergeCell ref="I55:N55"/>
    <mergeCell ref="R55:Z55"/>
    <mergeCell ref="C56:N56"/>
    <mergeCell ref="R56:Z56"/>
    <mergeCell ref="C57:N57"/>
    <mergeCell ref="R57:Z57"/>
    <mergeCell ref="C58:P58"/>
    <mergeCell ref="C59:N59"/>
    <mergeCell ref="C60:N60"/>
    <mergeCell ref="P60:AA60"/>
    <mergeCell ref="C61:N61"/>
    <mergeCell ref="P61:AA61"/>
    <mergeCell ref="AC50:AN50"/>
    <mergeCell ref="AC51:AN51"/>
    <mergeCell ref="AC52:AN52"/>
    <mergeCell ref="AC53:AN53"/>
    <mergeCell ref="AC54:AN54"/>
    <mergeCell ref="AC55:AN55"/>
    <mergeCell ref="AC56:AN56"/>
    <mergeCell ref="AC57:AN57"/>
    <mergeCell ref="BA61:BA68"/>
    <mergeCell ref="BB61:BB68"/>
    <mergeCell ref="BC61:BC68"/>
    <mergeCell ref="AC60:AN60"/>
    <mergeCell ref="AC61:AN61"/>
    <mergeCell ref="AV61:AV68"/>
    <mergeCell ref="AW61:AW68"/>
    <mergeCell ref="AX61:AX68"/>
    <mergeCell ref="AY61:AY68"/>
    <mergeCell ref="AZ61:AZ68"/>
    <mergeCell ref="AC62:AN62"/>
    <mergeCell ref="AC63:AN63"/>
    <mergeCell ref="C62:N62"/>
    <mergeCell ref="P62:AA62"/>
    <mergeCell ref="C63:N63"/>
    <mergeCell ref="P63:AA63"/>
    <mergeCell ref="C64:N64"/>
    <mergeCell ref="P64:AA64"/>
    <mergeCell ref="C65:N65"/>
    <mergeCell ref="P65:AA65"/>
    <mergeCell ref="C66:N66"/>
    <mergeCell ref="P66:AA66"/>
    <mergeCell ref="C67:N67"/>
    <mergeCell ref="P67:AA67"/>
    <mergeCell ref="C68:N68"/>
    <mergeCell ref="P68:AA68"/>
    <mergeCell ref="R162:AB162"/>
    <mergeCell ref="R163:AN163"/>
    <mergeCell ref="R165:AN165"/>
    <mergeCell ref="R166:AN166"/>
    <mergeCell ref="R167:AN167"/>
    <mergeCell ref="R168:AN168"/>
    <mergeCell ref="R169:AN169"/>
    <mergeCell ref="R177:AN177"/>
    <mergeCell ref="R178:AN178"/>
    <mergeCell ref="B180:AO180"/>
    <mergeCell ref="R170:AN170"/>
    <mergeCell ref="R171:AN171"/>
    <mergeCell ref="R172:AN172"/>
    <mergeCell ref="R173:AN173"/>
    <mergeCell ref="R174:AN174"/>
    <mergeCell ref="R175:AN175"/>
    <mergeCell ref="R176:AN176"/>
    <mergeCell ref="X103:AD103"/>
    <mergeCell ref="X104:AD104"/>
    <mergeCell ref="X106:AD106"/>
    <mergeCell ref="X107:AD107"/>
    <mergeCell ref="X108:AD108"/>
    <mergeCell ref="X109:AD109"/>
    <mergeCell ref="X110:AD110"/>
    <mergeCell ref="X112:AD112"/>
    <mergeCell ref="X113:AD113"/>
    <mergeCell ref="X114:AD114"/>
    <mergeCell ref="X115:AD115"/>
    <mergeCell ref="X116:AD116"/>
    <mergeCell ref="X118:AD118"/>
    <mergeCell ref="X119:AD119"/>
    <mergeCell ref="X120:AD120"/>
    <mergeCell ref="X121:AD121"/>
    <mergeCell ref="X123:AD123"/>
    <mergeCell ref="X124:AD124"/>
    <mergeCell ref="X125:AD125"/>
    <mergeCell ref="X126:AD126"/>
    <mergeCell ref="X128:AD128"/>
    <mergeCell ref="X129:AD129"/>
    <mergeCell ref="X130:AD130"/>
    <mergeCell ref="X131:AD131"/>
    <mergeCell ref="X133:AD133"/>
    <mergeCell ref="X134:AD134"/>
    <mergeCell ref="X135:AD135"/>
    <mergeCell ref="X137:AD137"/>
    <mergeCell ref="X138:AD138"/>
    <mergeCell ref="X139:AD139"/>
    <mergeCell ref="X141:AD141"/>
    <mergeCell ref="X142:AD142"/>
    <mergeCell ref="X143:AD143"/>
    <mergeCell ref="B145:AO145"/>
    <mergeCell ref="R147:AB147"/>
    <mergeCell ref="R148:AB148"/>
    <mergeCell ref="R149:AB149"/>
    <mergeCell ref="R150:AB150"/>
    <mergeCell ref="R151:AB151"/>
    <mergeCell ref="R152:AB152"/>
    <mergeCell ref="R153:AB153"/>
    <mergeCell ref="R154:AB154"/>
    <mergeCell ref="R155:AB155"/>
    <mergeCell ref="R156:AB156"/>
    <mergeCell ref="R157:AB157"/>
    <mergeCell ref="R158:AB158"/>
    <mergeCell ref="R159:AB159"/>
    <mergeCell ref="R160:AB160"/>
    <mergeCell ref="R161:AB161"/>
  </mergeCells>
  <conditionalFormatting sqref="R17">
    <cfRule type="cellIs" dxfId="0" priority="1" operator="equal">
      <formula>0</formula>
    </cfRule>
  </conditionalFormatting>
  <conditionalFormatting sqref="R17">
    <cfRule type="expression" dxfId="1" priority="2">
      <formula>R17&lt;(U16/4)</formula>
    </cfRule>
  </conditionalFormatting>
  <conditionalFormatting sqref="R17:AA18">
    <cfRule type="expression" dxfId="2" priority="3">
      <formula>R17&lt;(U16/2)</formula>
    </cfRule>
  </conditionalFormatting>
  <conditionalFormatting sqref="AC57:AN57">
    <cfRule type="notContainsText" dxfId="3" priority="4" operator="notContains" text="EQUIPPED ITEMS">
      <formula>ISERROR(SEARCH(("EQUIPPED ITEMS"),(AC57)))</formula>
    </cfRule>
  </conditionalFormatting>
  <conditionalFormatting sqref="R43">
    <cfRule type="notContainsText" dxfId="3" priority="5" operator="notContains" text="ATTACKS &amp; NOTES">
      <formula>ISERROR(SEARCH(("ATTACKS &amp; NOTES"),(R43)))</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0" priority="6">
      <formula>or($I$174="Red",isnumber(find("rouge",$T$5)))</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4" priority="7">
      <formula>$I$174="Orange"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5" priority="8">
      <formula>$I$174="Yellow"</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6" priority="9">
      <formula>$I$174="Green"</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7" priority="10">
      <formula>$I$174="Cyan"</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8" priority="11">
      <formula>$I$174="Blue"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9" priority="12">
      <formula>$I$174="Purple"</formula>
    </cfRule>
  </conditionalFormatting>
  <conditionalFormatting sqref="AL5 C6 T6 Z6 AE6 T8 Z8 AE8 AH8 AE15 AE19 AE23 R27 X27 AE27 F45 U90 AB90 AI90 C91 U93 AB93 AI93 C149:N149 C151:N151 I174:I175 C175 C177 I177 AE11 AE28 AC57 P85 R14 V14 Z14 R19 K11 K14 C12 C17 C22 C27 C32 C37 H23 H43 R43 R57 C56 F97 R163 R178 C171 C178 R23">
    <cfRule type="expression" dxfId="10" priority="13">
      <formula>$I$174="Magenta"</formula>
    </cfRule>
  </conditionalFormatting>
  <conditionalFormatting sqref="H17:H42 I174">
    <cfRule type="expression" dxfId="1" priority="14">
      <formula>and($I$174="Red",H17="e")</formula>
    </cfRule>
  </conditionalFormatting>
  <conditionalFormatting sqref="H17:H42 I174">
    <cfRule type="expression" dxfId="11" priority="15">
      <formula>and($I$174="Orange",H17="e")</formula>
    </cfRule>
  </conditionalFormatting>
  <conditionalFormatting sqref="H17:H42 I174">
    <cfRule type="expression" dxfId="5" priority="16">
      <formula>and($I$174="Yellow",H17="e")</formula>
    </cfRule>
  </conditionalFormatting>
  <conditionalFormatting sqref="H17:H42 I174">
    <cfRule type="expression" dxfId="6" priority="17">
      <formula>and($I$174="Green",H17="e")</formula>
    </cfRule>
  </conditionalFormatting>
  <conditionalFormatting sqref="H17:H42 I174">
    <cfRule type="expression" dxfId="7" priority="18">
      <formula>and($I$174="Cyan",H17="e")</formula>
    </cfRule>
  </conditionalFormatting>
  <conditionalFormatting sqref="H17:H42 I174">
    <cfRule type="expression" dxfId="8" priority="19">
      <formula>and($I$174="Blue",H17="e")</formula>
    </cfRule>
  </conditionalFormatting>
  <conditionalFormatting sqref="H17:H42 I174">
    <cfRule type="expression" dxfId="9" priority="20">
      <formula>and($I$174="Purple",H17="e")</formula>
    </cfRule>
  </conditionalFormatting>
  <conditionalFormatting sqref="H17:H42 I174">
    <cfRule type="expression" dxfId="10" priority="21">
      <formula>and($I$174="Magenta",H17="e")</formula>
    </cfRule>
  </conditionalFormatting>
  <conditionalFormatting sqref="AG101:AH102 I107 AG113 I119 AG124 I129 AG134 I138 AG142">
    <cfRule type="cellIs" dxfId="12" priority="22" operator="equal">
      <formula>0</formula>
    </cfRule>
  </conditionalFormatting>
  <conditionalFormatting sqref="D100:D104 N100:N104 X100:X104 N106:N110 X106:X110 AH106:AH110 C111 D112:D116 N112:N116 X112:X116 N118:N121 X118:X121 AH118:AH121 D123:D126 N123:N126 X123:X126 N128:N131 X128:X131 AH128:AH131 D133:D135 N133:N135 X133:X135 N137:N139 X137:X139 AH137:AH139 D141:D144 N141:N144 X141:X144">
    <cfRule type="expression" dxfId="13" priority="23">
      <formula>C100=0</formula>
    </cfRule>
  </conditionalFormatting>
  <conditionalFormatting sqref="M96:M98 W96:W98 AG96:AG98 C100:C104 M100:M104 W100:W104 M106:M110 W106:W110 AG106:AG110 C112:C116 M112:M116 W112:W116 M118:M121 W118:W121 AG118:AG121 C123:C126 M123:M126 W123:W126 M128:M131 W128:W131 AG128:AG131 C133:C136 M133:M144 W133:W144 AG137:AG140 L140 V140 AF140 C141:C144">
    <cfRule type="expression" dxfId="13" priority="24">
      <formula>N96=""</formula>
    </cfRule>
  </conditionalFormatting>
  <conditionalFormatting sqref="R17:AA18">
    <cfRule type="cellIs" dxfId="14" priority="25" operator="equal">
      <formula>U16</formula>
    </cfRule>
  </conditionalFormatting>
  <conditionalFormatting sqref="T2:T4 T5 AE7">
    <cfRule type="expression" dxfId="15" priority="26">
      <formula>if(and(sum($AT$6:$AT$15)&lt;&gt;$AL$6,$T$5&lt;&gt;"",$AL$6&lt;&gt;""),1,"")</formula>
    </cfRule>
  </conditionalFormatting>
  <conditionalFormatting sqref="I17:I42">
    <cfRule type="expression" dxfId="14" priority="27">
      <formula>and(or(lower(F17:F42)="a",regexmatch(lower(F17:F42),"adv")),not(regexmatch(lower(F17:F42),"dis")))</formula>
    </cfRule>
  </conditionalFormatting>
  <conditionalFormatting sqref="I17:I42">
    <cfRule type="expression" dxfId="16" priority="28">
      <formula>or(lower(F17)="d",regexmatch(lower(F17),"dis"))</formula>
    </cfRule>
  </conditionalFormatting>
  <conditionalFormatting sqref="I25:I42">
    <cfRule type="expression" dxfId="17" priority="29">
      <formula>H25="e"</formula>
    </cfRule>
  </conditionalFormatting>
  <conditionalFormatting sqref="I25:I42">
    <cfRule type="expression" dxfId="18" priority="30">
      <formula>and($H25=0,$AQ$59&lt;&gt;"")</formula>
    </cfRule>
  </conditionalFormatting>
  <conditionalFormatting sqref="I17:I22 I25:I42">
    <cfRule type="expression" dxfId="12" priority="31">
      <formula>H17=0</formula>
    </cfRule>
  </conditionalFormatting>
  <conditionalFormatting sqref="V12">
    <cfRule type="expression" dxfId="14" priority="32">
      <formula>or($V$11="a",and(regexmatch($V$11,"adv"),not(regexmatch($V$11,"dis"))))</formula>
    </cfRule>
  </conditionalFormatting>
  <conditionalFormatting sqref="V12">
    <cfRule type="expression" dxfId="16" priority="33">
      <formula>or($V$11="d",regexmatch($V$11,"dis"))</formula>
    </cfRule>
  </conditionalFormatting>
  <conditionalFormatting sqref="R17">
    <cfRule type="cellIs" dxfId="0" priority="34" operator="equal">
      <formula>0</formula>
    </cfRule>
  </conditionalFormatting>
  <conditionalFormatting sqref="R17">
    <cfRule type="expression" dxfId="1" priority="35">
      <formula>R17&lt;(U16/4)</formula>
    </cfRule>
  </conditionalFormatting>
  <conditionalFormatting sqref="R17:AA18">
    <cfRule type="expression" dxfId="2" priority="36">
      <formula>R17&lt;(U16/2)</formula>
    </cfRule>
  </conditionalFormatting>
  <conditionalFormatting sqref="AG101:AH102 I107 AG113 I119 AG124 I129 AG134 I138 AG142">
    <cfRule type="cellIs" dxfId="12" priority="37" operator="equal">
      <formula>0</formula>
    </cfRule>
  </conditionalFormatting>
  <conditionalFormatting sqref="R17:AA18">
    <cfRule type="cellIs" dxfId="14" priority="38" operator="equal">
      <formula>U16</formula>
    </cfRule>
  </conditionalFormatting>
  <conditionalFormatting sqref="J17:J42">
    <cfRule type="expression" dxfId="14" priority="39">
      <formula>F17:F42="adv"</formula>
    </cfRule>
  </conditionalFormatting>
  <conditionalFormatting sqref="J17:J42">
    <cfRule type="expression" dxfId="16" priority="40">
      <formula>F17:F42="dis"</formula>
    </cfRule>
  </conditionalFormatting>
  <conditionalFormatting sqref="J25:J42">
    <cfRule type="expression" dxfId="19" priority="41">
      <formula>if(isnumber(find(J25,$AR$16)),and(counta(iferror(filter($J$25:$J$42,isnumber(find($J$25:$J$42,$AR$16)),$H$25:$H$42&lt;&gt;0)))&lt;$AS$18,H25=0,countif($H$25:$H$42,"&lt;&gt;0")&lt;$AS$16+if($AJ$11&lt;&gt;"",2,0)),0)</formula>
    </cfRule>
  </conditionalFormatting>
  <conditionalFormatting sqref="J25:J42">
    <cfRule type="expression" dxfId="20" priority="42">
      <formula>if(isnumber(find(J25,$AQ$16)),and(counta(iferror(filter($J$25:$J$42,isnumber(find($J$25:$J$42,$AQ$16)),$H$25:$H$42&lt;&gt;0)))&lt;2,H25=0,countif($H$25:$H$42,"&lt;&gt;0")&lt;$AS$16+if($AJ$11&lt;&gt;"",2,0)),0)</formula>
    </cfRule>
  </conditionalFormatting>
  <conditionalFormatting sqref="J25:J42">
    <cfRule type="expression" dxfId="21" priority="43">
      <formula>and(if(isnumber(find(J25,$AW$17)),and(counta(iferror(filter($J$25:$J$42,isnumber(find($J$25:$J$42,$AW$17)),$H$25:$H$42&lt;&gt;0)))&lt;$AS$19,H25=0,countif($H$25:$H$42,"&lt;&gt;0")&lt;$AS$16++if($AJ$11&lt;&gt;"",2,0)),0),counta(split($AR$16,","))=18)</formula>
    </cfRule>
  </conditionalFormatting>
  <conditionalFormatting sqref="J25:J42">
    <cfRule type="expression" dxfId="22" priority="44">
      <formula>if(isnumber(find(J25,$AR$16)),and(counta(iferror(filter($J$25:$J$42,isnumber(find($J$25:$J$42,$AR$16)),$H$25:$H$42&lt;&gt;0)))&lt;$AS$17,H25=0,countif($H$25:$H$42,"&lt;&gt;0")&lt;$AS$16+if($AJ$11&lt;&gt;"",2,0)),0)</formula>
    </cfRule>
  </conditionalFormatting>
  <conditionalFormatting sqref="J25:J42">
    <cfRule type="expression" dxfId="21" priority="45">
      <formula>if(isnumber(find(J25,$AW$17)),and(counta(iferror(filter($J$25:$J$42,isnumber(find($J$25:$J$42,$AW$17)),$H$25:$H$42&lt;&gt;0)))&lt;$AS$19,H25=0,countif($H$25:$H$42,"&lt;&gt;0")&lt;$AS$16+if($AJ$11&lt;&gt;"",2,0)),0)</formula>
    </cfRule>
  </conditionalFormatting>
  <conditionalFormatting sqref="T8:AD8">
    <cfRule type="expression" dxfId="23" priority="46">
      <formula>and(T7&lt;&gt;"",AQ5="")</formula>
    </cfRule>
  </conditionalFormatting>
  <conditionalFormatting sqref="C11 D11">
    <cfRule type="expression" dxfId="24" priority="47">
      <formula>countif({$C16,$C21,$C26,$C31,$C36,$C41},"=0")&gt;5</formula>
    </cfRule>
  </conditionalFormatting>
  <conditionalFormatting sqref="D16 D21 D26 D31 D36 D41">
    <cfRule type="expression" dxfId="25" priority="48">
      <formula>if(isnumber(find("choose",lower($AR$5))),if(and(regexmatch(mid($AR$5,find("choose",$AR$5),len($AR$5)),lower(C12)&amp;" \+[0-9]"),sum($D$16,$D$21,$D$26,$D$31,$D$36,$D$41)&lt;int(right(regexextract(lower($AR$5),"choose [0-9]"),1))),int(right(regexextract(mid($AR$5,find("choose",$AR$5),len($AR$5)),lower(C12)&amp;" \+[0-9]"),1)),0))</formula>
    </cfRule>
  </conditionalFormatting>
  <conditionalFormatting sqref="D11">
    <cfRule type="expression" dxfId="25" priority="49">
      <formula>sum($D$16,$D$21,$D$26,$D$31,$D$36,$D$41)&lt;int(right(regexextract(lower($AR$5),"choose [0-9]"),1))</formula>
    </cfRule>
  </conditionalFormatting>
  <conditionalFormatting sqref="C16 C21 C26 C31 C36 C41">
    <cfRule type="expression" dxfId="26" priority="50">
      <formula>or(C16&lt;1,C16="")</formula>
    </cfRule>
  </conditionalFormatting>
  <conditionalFormatting sqref="T5 T7 AE7">
    <cfRule type="containsBlanks" dxfId="27" priority="51">
      <formula>LEN(TRIM(T5))=0</formula>
    </cfRule>
  </conditionalFormatting>
  <conditionalFormatting sqref="H25:H42">
    <cfRule type="expression" dxfId="27" priority="52">
      <formula>and(isnumber(find(J25,textjoin(", ",True,$AQ$16,$AR$16,$AW$17))),H25=0,and($AW$16&lt;&gt;"",countif($H$25:$H$42,"&lt;&gt;0")&lt;if($AJ$11&lt;&gt;"",2,0)+$AS$16))</formula>
    </cfRule>
  </conditionalFormatting>
  <conditionalFormatting sqref="I51:N53">
    <cfRule type="containsBlanks" dxfId="28" priority="53">
      <formula>LEN(TRIM(I51))=0</formula>
    </cfRule>
  </conditionalFormatting>
  <dataValidations>
    <dataValidation type="list" allowBlank="1" sqref="C91">
      <formula1>v2.1!$AQ$91:$AQ$100</formula1>
    </dataValidation>
    <dataValidation type="list" allowBlank="1" sqref="R48">
      <formula1>v2.1!$BC$69:$BC180</formula1>
    </dataValidation>
    <dataValidation type="list" allowBlank="1" sqref="R54">
      <formula1>v2.1!$BC$69:$BC180</formula1>
    </dataValidation>
    <dataValidation type="list" allowBlank="1" sqref="AC46:AC56">
      <formula1>'Gear Info'!$B$7:$B$201</formula1>
    </dataValidation>
    <dataValidation type="list" allowBlank="1" sqref="R52">
      <formula1>v2.1!$BC$69:$BC180</formula1>
    </dataValidation>
    <dataValidation type="list" allowBlank="1" sqref="R50">
      <formula1>v2.1!$BC$69:$BC180</formula1>
    </dataValidation>
    <dataValidation type="list" allowBlank="1" sqref="AJ28">
      <formula1>"Lawful Good,Lawful Neutral,Lawful Evil,Neutral Good,True Neutral,Neutral Evil,Chaotic Good,Chaotic Neutral,Chaotic Evil,Lawful Jerk,Chaotic Stupid,Neutral Wuss"</formula1>
    </dataValidation>
    <dataValidation type="list" allowBlank="1" sqref="R55">
      <formula1>v2.1!$BC$69:$BC180</formula1>
    </dataValidation>
    <dataValidation type="list" allowBlank="1" sqref="R51">
      <formula1>v2.1!$BC$69:$BC180</formula1>
    </dataValidation>
    <dataValidation type="list" allowBlank="1" sqref="R49">
      <formula1>v2.1!$BC$69:$BC180</formula1>
    </dataValidation>
    <dataValidation type="list" allowBlank="1" sqref="R56">
      <formula1>v2.1!$BC$69:$BC180</formula1>
    </dataValidation>
    <dataValidation type="list" allowBlank="1" showErrorMessage="1" sqref="I174">
      <formula1>"Black,Red,Orange,Yellow,Green,Cyan,Blue,Purple,Magenta"</formula1>
    </dataValidation>
    <dataValidation type="list" allowBlank="1" sqref="R32:R36">
      <formula1>'Attack Info'!$B$7:$B$201</formula1>
    </dataValidation>
    <dataValidation type="list" allowBlank="1" sqref="AJ11">
      <formula1>v2.1!$AX$69:$AX180</formula1>
    </dataValidation>
    <dataValidation type="list" allowBlank="1" sqref="R47">
      <formula1>v2.1!$BC$69:$BC180</formula1>
    </dataValidation>
    <dataValidation type="list" allowBlank="1" sqref="C174">
      <formula1>$AQ$156:$AQ$178</formula1>
    </dataValidation>
    <dataValidation type="list" allowBlank="1" sqref="R53">
      <formula1>v2.1!$BC$69:$BC180</formula1>
    </dataValidation>
    <dataValidation type="list" allowBlank="1" sqref="T7">
      <formula1>'Race Info'!$B$7:$B180</formula1>
    </dataValidation>
    <dataValidation type="list" allowBlank="1" sqref="AC45">
      <formula1>'Gear Info'!$B$7:$B201</formula1>
    </dataValidation>
    <dataValidation type="list" allowBlank="1" sqref="R46">
      <formula1>v2.1!$BC$69:$BC180</formula1>
    </dataValidation>
  </dataValidations>
  <hyperlinks>
    <hyperlink r:id="rId2" ref="AR156"/>
    <hyperlink r:id="rId3" ref="AS156"/>
    <hyperlink r:id="rId4" ref="AR157"/>
    <hyperlink r:id="rId5" ref="AS157"/>
    <hyperlink r:id="rId6" ref="AR158"/>
    <hyperlink r:id="rId7" ref="AS158"/>
    <hyperlink r:id="rId8" ref="AR159"/>
    <hyperlink r:id="rId9" ref="AS159"/>
    <hyperlink r:id="rId10" ref="AR160"/>
    <hyperlink r:id="rId11" ref="AS160"/>
    <hyperlink r:id="rId12" ref="AR161"/>
    <hyperlink r:id="rId13" ref="AS161"/>
    <hyperlink r:id="rId14" ref="AR162"/>
    <hyperlink r:id="rId15" ref="AS162"/>
    <hyperlink r:id="rId16" ref="AR163"/>
    <hyperlink r:id="rId17" ref="AS163"/>
    <hyperlink r:id="rId18" ref="AR164"/>
    <hyperlink r:id="rId19" ref="AS164"/>
    <hyperlink r:id="rId20" ref="AR165"/>
    <hyperlink r:id="rId21" ref="AS165"/>
    <hyperlink r:id="rId22" ref="AR166"/>
    <hyperlink r:id="rId23" ref="AS166"/>
    <hyperlink r:id="rId24" ref="AR167"/>
    <hyperlink r:id="rId25" ref="AS167"/>
    <hyperlink r:id="rId26" ref="AR168"/>
    <hyperlink r:id="rId27" ref="AS168"/>
    <hyperlink r:id="rId28" ref="AR169"/>
    <hyperlink r:id="rId29" ref="AS169"/>
    <hyperlink r:id="rId30" ref="AR170"/>
    <hyperlink r:id="rId31" ref="AS170"/>
    <hyperlink r:id="rId32" ref="AR171"/>
    <hyperlink r:id="rId33" ref="AS171"/>
    <hyperlink r:id="rId34" ref="AR172"/>
    <hyperlink r:id="rId35" ref="AS172"/>
    <hyperlink r:id="rId36" ref="AR173"/>
    <hyperlink r:id="rId37" ref="AS173"/>
    <hyperlink r:id="rId38" ref="AR174"/>
    <hyperlink r:id="rId39" ref="AS174"/>
    <hyperlink r:id="rId40" ref="AR175"/>
    <hyperlink r:id="rId41" ref="AS175"/>
  </hyperlinks>
  <drawing r:id="rId42"/>
  <legacyDrawing r:id="rId4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 customWidth="1" hidden="1" min="43" max="55" width="3.0"/>
  </cols>
  <sheetData>
    <row r="1" ht="15.75" customHeight="1">
      <c r="A1" s="301" t="str">
        <f>IMAGE("https://i.imgur.com/dLCrlMP.png",1)</f>
        <v/>
      </c>
      <c r="B1" s="301"/>
      <c r="C1" s="301"/>
      <c r="D1" s="301"/>
      <c r="E1" s="301"/>
      <c r="F1" s="301"/>
      <c r="G1" s="301"/>
      <c r="H1" s="301"/>
      <c r="I1" s="301"/>
      <c r="J1" s="301"/>
      <c r="K1" s="301"/>
      <c r="L1" s="301"/>
      <c r="M1" s="301"/>
      <c r="N1" s="301"/>
      <c r="O1" s="301"/>
      <c r="P1" s="301"/>
      <c r="Q1" s="302"/>
      <c r="R1" s="302"/>
      <c r="S1" s="302"/>
      <c r="T1" s="302"/>
      <c r="U1" s="12" t="str">
        <f>IMAGE("https://i.imgur.com/d8lzxuU.png",2)</f>
        <v/>
      </c>
      <c r="W1" s="301"/>
      <c r="X1" s="301"/>
      <c r="Y1" s="301"/>
      <c r="Z1" s="301"/>
      <c r="AA1" s="301"/>
      <c r="AB1" s="301"/>
      <c r="AC1" s="301"/>
      <c r="AD1" s="301"/>
      <c r="AE1" s="301"/>
      <c r="AF1" s="301"/>
      <c r="AG1" s="301"/>
      <c r="AH1" s="301"/>
      <c r="AI1" s="301"/>
      <c r="AJ1" s="301"/>
      <c r="AK1" s="301"/>
      <c r="AL1" s="302"/>
      <c r="AM1" s="302"/>
      <c r="AN1" s="302"/>
      <c r="AO1" s="302"/>
      <c r="AP1" s="301" t="str">
        <f>IMAGE("https://i.imgur.com/UEkMpNa.png",1)</f>
        <v/>
      </c>
      <c r="AQ1" s="3"/>
      <c r="AR1" s="3"/>
      <c r="AS1" s="3"/>
      <c r="AT1" s="3"/>
      <c r="AU1" s="3"/>
      <c r="AV1" s="3"/>
      <c r="AW1" s="3"/>
      <c r="AX1" s="3"/>
      <c r="AY1" s="3"/>
      <c r="AZ1" s="3"/>
      <c r="BA1" s="3"/>
      <c r="BB1" s="3"/>
      <c r="BC1" s="3"/>
    </row>
    <row r="2" ht="15.75" customHeight="1">
      <c r="B2" s="303" t="s">
        <v>55</v>
      </c>
      <c r="C2" s="25"/>
      <c r="D2" s="25"/>
      <c r="E2" s="25"/>
      <c r="F2" s="25"/>
      <c r="G2" s="25"/>
      <c r="H2" s="304"/>
      <c r="I2" s="303" t="s">
        <v>56</v>
      </c>
      <c r="J2" s="25"/>
      <c r="K2" s="25"/>
      <c r="L2" s="305"/>
      <c r="M2" s="303" t="s">
        <v>57</v>
      </c>
      <c r="N2" s="25"/>
      <c r="O2" s="25"/>
      <c r="P2" s="25"/>
      <c r="Q2" s="301"/>
      <c r="R2" s="301"/>
      <c r="S2" s="301"/>
      <c r="T2" s="301"/>
      <c r="W2" s="303" t="s">
        <v>55</v>
      </c>
      <c r="X2" s="25"/>
      <c r="Y2" s="25"/>
      <c r="Z2" s="25"/>
      <c r="AA2" s="25"/>
      <c r="AB2" s="25"/>
      <c r="AC2" s="304"/>
      <c r="AD2" s="303" t="s">
        <v>56</v>
      </c>
      <c r="AE2" s="25"/>
      <c r="AF2" s="25"/>
      <c r="AG2" s="305"/>
      <c r="AH2" s="303" t="s">
        <v>57</v>
      </c>
      <c r="AI2" s="25"/>
      <c r="AJ2" s="25"/>
      <c r="AK2" s="25"/>
      <c r="AL2" s="301"/>
      <c r="AM2" s="301"/>
      <c r="AN2" s="301"/>
      <c r="AO2" s="301"/>
      <c r="AQ2" s="3"/>
      <c r="AR2" s="3"/>
      <c r="AS2" s="3"/>
      <c r="AT2" s="3"/>
      <c r="AU2" s="3"/>
      <c r="AV2" s="3"/>
      <c r="AW2" s="3"/>
      <c r="AX2" s="3"/>
      <c r="AY2" s="3"/>
      <c r="AZ2" s="3"/>
      <c r="BA2" s="3"/>
      <c r="BB2" s="3"/>
      <c r="BC2" s="3"/>
    </row>
    <row r="3" ht="15.75" customHeight="1">
      <c r="B3" s="306"/>
      <c r="C3" s="152"/>
      <c r="D3" s="152"/>
      <c r="E3" s="152"/>
      <c r="F3" s="152"/>
      <c r="G3" s="152"/>
      <c r="H3" s="153" t="str">
        <f t="shared" ref="H3:H13" si="1">IMAGE("http://i.imgur.com/qlVxTyw.png",3)</f>
        <v/>
      </c>
      <c r="I3" s="154" t="str">
        <f>IFERROR(__xludf.DUMMYFUNCTION("if(and(proficiencyBonus,$AQ3&lt;&gt;"""",$BC3&lt;&gt;""-""),
        if(or(
              isnumber(find(""unarmed"",lower($AT3))),
              isnumber(find(""natural"",lower($AT3))),
              isnumber(find(""spell"",lower($AT3))),
              and(isnumber(f"&amp;"ind(""improvised"",lower($AQ3))),isnumber(find(""brawler"",feats))),
              isnumber(find(lower($AT3),lower(weaponProficiencies))),
              not(isna(filter(arrayformula(trim(split(lower(weaponProficiencies),"",""))),isnumber(find(arrayformula"&amp;"(trim(split(lower(weaponProficiencies),"",""))),lower($AQ3))))))
           ),
           proficiencyBonus,
           0
        )
        +if(lower($AU3)=""ranged"",archery+closeQuarters,0)
        +if(isnumber(find(""spell"",lower($AT3))),v2.1!$AR$91,0)"&amp;"
        +$BC3,
        ""-""
    )"),"-")</f>
        <v>-</v>
      </c>
      <c r="J3" s="152"/>
      <c r="K3" s="152"/>
      <c r="L3" s="153" t="str">
        <f t="shared" ref="L3:L13" si="2">IMAGE("http://i.imgur.com/qlVxTyw.png",3)</f>
        <v/>
      </c>
      <c r="M3" s="155" t="str">
        <f>IFERROR(__xludf.DUMMYFUNCTION("substitute(if(and($AQ3&lt;&gt;"""",proficiencyBonus&lt;&gt;""""),
 $AR3&amp;if(and(""melee""=lower($AU3),lower($AT3)&lt;&gt;""unarmed"",isnumber(find(""two-handed"",lower($R3&amp;$BA3)))),greatWeaponFighting,"""")
&amp;if($AR3&lt;&gt;0,""+""
&amp;if($BB3&lt;&gt;""〇"",$BC3,if($AW3&lt;&gt;""-"",$AW3,0))
+int"&amp;"(iferror(regexextract(regexextract(Additional!$AR$79,""proficiency with[a-z ]+""&amp;lower(array_constrain(filter('Attack Info'!$B$7:$B81,'Attack Info'!$B$7:$B81&lt;&gt;"""",isnumber(find(lower('Attack Info'!$B$7:$B81),lower($AQ3)))),1,1))&amp;""[a-z, ]+\+[0-9]+ bonus "&amp;"to damage[a-z ]+with such weapons""),""[0-9]+?""),0))
+int(iferror(regexextract(regexextract(Additional!$AR$79,""\+[0-9] bonus to damage[a-z ]+""&amp;lower(array_constrain(filter('Attack Info'!$B$7:$B81,'Attack Info'!$B$7:$B81&lt;&gt;"""",isnumber(find(lower('Attac"&amp;"k Info'!$B$7:$B81),lower($AQ3)))),1,1))),""[0-9]+?""),0))
+if(and(isnumber(find(""melee"",lower($AU3))),iserror(find(""unarmed"",lower($AT3))),iserror(find(""natural"",lower($AT3))),iserror(find(""two-handed"",lower($R3&amp;$BA3)))),dueling,0)
+if(isnumber(fi"&amp;"nd(""thrown"",lower($BA3))),thrown,0)
&amp;""[""&amp;$AS3&amp;""]"","""")
&amp;if(and(PaladinLevel&gt;=11,isnumber(find(""melee"",lower($AU3))),isnumber(find(lower($AT3),""simplemartial""))),""+1d8[radiant]"","""")
&amp;if($AX3&lt;&gt;""-"",""+""&amp;$AX3&amp;""[""&amp;$AY3&amp;""]"","""")
&amp;if(and(i"&amp;"snumber(find(""pact"",lower($AQ3))),isnumber(find(""lifedrinker"",lower(invocations)))),""+""&amp;chaMod&amp;""[necrotic]"","""")
&amp;""|***""&amp;textjoin("" "",True,if(and($AT3&lt;&gt;""-"",$AT3&lt;&gt;""Spell""),$AT3,""""),if($AU3&lt;&gt;""-"",$AU3,""""),if($AT3=""Spell"",$AT3,if(and("&amp;"$AT3&lt;&gt;""Unarmed"",$AT3&lt;&gt;""Natural""),""Weapon"","""")))&amp;"" Attack.***""
&amp;if($BA3&lt;&gt;""-"",""
""&amp;$BA3,"""")
&amp;if(and(isnumber(find(""melee"",lower($AU3))),iserror(find(""unarmed"",lower($AT3))),iserror(find(""natural"",lower($AT3))),iserror(find(""two-handed"&amp;""",lower($R3&amp;$AV3)))),""
""&amp;duelingText,"""")
&amp;if(and(or(lower($AT3)=""unarmed"",lower($AT3)=""natural""),unarmedFighting),""
""&amp;unarmedText,"""")
&amp;if(and(""melee""=lower($AU3),lower($AT3)&lt;&gt;""unarmed"",isnumber(find(""two-handed"",lower($R3&amp;$BA3)))),""
"""&amp;"&amp;gwfText,"""")
&amp;if(and(isnumber(find(""offhand"",lower($R3))),twoWeaponFighting),""
""&amp;twfText,"""")
&amp;if(and(lower($AU3)=""ranged"",lower($AT3)&lt;&gt;""spell""),if(archeryText&lt;&gt;"""",""
""&amp;archeryText,"""")&amp;if(closeQuartersText&lt;&gt;"""",""
""&amp;closeQuartersText,"""&amp;"""),"""")
&amp;if(isnumber(find(""thrown"",lower($BA3))),""
""&amp;thrownText,""""),""                 -""),""+0"","""")"),"                 -")</f>
        <v>                 -</v>
      </c>
      <c r="N3" s="156"/>
      <c r="O3" s="156"/>
      <c r="P3" s="156"/>
      <c r="Q3" s="156"/>
      <c r="R3" s="156"/>
      <c r="S3" s="156"/>
      <c r="T3" s="156"/>
      <c r="W3" s="151"/>
      <c r="X3" s="152"/>
      <c r="Y3" s="152"/>
      <c r="Z3" s="152"/>
      <c r="AA3" s="152"/>
      <c r="AB3" s="152"/>
      <c r="AC3" s="153" t="str">
        <f t="shared" ref="AC3:AC13" si="3">IMAGE("http://i.imgur.com/qlVxTyw.png",3)</f>
        <v/>
      </c>
      <c r="AD3" s="154" t="str">
        <f>IFERROR(__xludf.DUMMYFUNCTION("if(and(proficiencyBonus,$AQ14&lt;&gt;"""",$BC14&lt;&gt;""-""),
        if(or(
              isnumber(find(""unarmed"",lower($AT14))),
              isnumber(find(""natural"",lower($AT14))),
              isnumber(find(""spell"",lower($AT14))),
              and(isnum"&amp;"ber(find(""improvised"",lower($AQ14))),isnumber(find(""brawler"",feats))),
              isnumber(find(lower($AT14),lower(weaponProficiencies))),
              not(isna(filter(arrayformula(trim(split(lower(weaponProficiencies),"",""))),isnumber(find(array"&amp;"formula(trim(split(lower(weaponProficiencies),"",""))),lower($AQ14))))))
           ),
           proficiencyBonus,
           0
        )
        +if(lower($AU14)=""ranged"",archery+closeQuarters,0)
        +if(isnumber(find(""spell"",lower($AT14))),v2.1"&amp;"!$AR$91,0)
        +$BC14,
        ""-""
    )"),"-")</f>
        <v>-</v>
      </c>
      <c r="AE3" s="152"/>
      <c r="AF3" s="152"/>
      <c r="AG3" s="153" t="str">
        <f t="shared" ref="AG3:AG13" si="4">IMAGE("http://i.imgur.com/qlVxTyw.png",3)</f>
        <v/>
      </c>
      <c r="AH3" s="155" t="str">
        <f>IFERROR(__xludf.DUMMYFUNCTION("substitute(if(and($AQ14&lt;&gt;"""",proficiencyBonus&lt;&gt;""""),
 $AR14&amp;if(and(""melee""=lower($AU14),lower($AT14)&lt;&gt;""unarmed"",isnumber(find(""two-handed"",lower($W3&amp;$BA14)))),greatWeaponFighting,"""")
&amp;if($AR14&lt;&gt;0,""+""
&amp;if($BB14&lt;&gt;""〇"",$BC14,if($AW14&lt;&gt;""-"",$AW1"&amp;"4,0))
+int(iferror(regexextract(regexextract(Additional!$AR$79,""proficiency with[a-z ]+""&amp;lower(array_constrain(filter('Attack Info'!$B$7:$B81,'Attack Info'!$B$7:$B81&lt;&gt;"""",isnumber(find(lower('Attack Info'!$B$7:$B81),lower($AQ14)))),1,1))&amp;""[a-z, ]+\+[0"&amp;"-9]+ bonus to damage[a-z ]+with such weapons""),""[0-9]+?""),0))
+int(iferror(regexextract(regexextract(Additional!$AR$79,""\+[0-9] bonus to damage[a-z ]+""&amp;lower(array_constrain(filter('Attack Info'!$B$7:$B81,'Attack Info'!$B$7:$B81&lt;&gt;"""",isnumber(find(l"&amp;"ower('Attack Info'!$B$7:$B81),lower($AQ14)))),1,1))),""[0-9]+?""),0))
+if(and(isnumber(find(""melee"",lower($AU14))),iserror(find(""unarmed"",lower($AT14))),iserror(find(""natural"",lower($AT14))),iserror(find(""two-handed"",lower($W3&amp;$BA14)))),dueling,0)"&amp;"
+if(isnumber(find(""thrown"",lower($BA14))),thrown,0)
&amp;""[""&amp;$AS14&amp;""]"","""")
&amp;if(and(PaladinLevel&gt;=11,isnumber(find(""melee"",lower($AU14))),isnumber(find(lower($AT14),""simplemartial""))),""+1d8[radiant]"","""")
&amp;if($AX14&lt;&gt;""-"",""+""&amp;$AX14&amp;""[""&amp;$AY1"&amp;"4&amp;""]"","""")
&amp;if(and(isnumber(find(""pact"",lower($AQ14))),isnumber(find(""lifedrinker"",lower(invocations)))),""+""&amp;chaMod&amp;""[necrotic]"","""")
&amp;""|***""&amp;textjoin("" "",True,if(and($AT14&lt;&gt;""-"",$AT14&lt;&gt;""Spell""),$AT14,""""),if($AU14&lt;&gt;""-"",$AU14,""""),i"&amp;"f($AT14=""Spell"",$AT14,if(and($AT14&lt;&gt;""Unarmed"",$AT14&lt;&gt;""Natural""),""Weapon"","""")))&amp;"" Attack.***""
&amp;if($BA14&lt;&gt;""-"",""
""&amp;$BA14,"""")
&amp;if(and(isnumber(find(""melee"",lower($AU14))),iserror(find(""unarmed"",lower($AT14))),iserror(find(""natural"",low"&amp;"er($AT14))),iserror(find(""two-handed"",lower($W3&amp;$AV14)))),""
""&amp;duelingText,"""")
&amp;if(and(or(lower($AT14)=""unarmed"",lower($AT14)=""natural""),unarmedFighting),""
""&amp;unarmedText,"""")
&amp;if(and(""melee""=lower($AU14),lower($AT14)&lt;&gt;""unarmed"",isnumber(fi"&amp;"nd(""two-handed"",lower($W3&amp;$BA14)))),""
""&amp;gwfText,"""")
&amp;if(and(isnumber(find(""offhand"",lower($W3))),twoWeaponFighting),""
""&amp;twfText,"""")
&amp;if(and(lower($AU14)=""ranged"",lower($AT14)&lt;&gt;""spell""),if(archeryText&lt;&gt;"""",""
""&amp;archeryText,"""")&amp;if(closeQ"&amp;"uartersText&lt;&gt;"""",""
""&amp;closeQuartersText,""""),"""")
&amp;if(isnumber(find(""thrown"",lower($BA14))),""
""&amp;thrownText,""""),""                 -""),""+0"","""")"),"                 -")</f>
        <v>                 -</v>
      </c>
      <c r="AI3" s="156"/>
      <c r="AJ3" s="156"/>
      <c r="AK3" s="156"/>
      <c r="AL3" s="156"/>
      <c r="AM3" s="156"/>
      <c r="AN3" s="156"/>
      <c r="AO3" s="156"/>
      <c r="AQ3" s="3" t="str">
        <f>IFERROR(__xludf.DUMMYFUNCTION("iferror(array_constrain(split(textjoin(""~"",True,filter('Attack Info'!$B$7:$AN81,'Attack Info'!$B$7:$B81&lt;&gt;"""",lower('Attack Info'!$B$7:$B81)=lower(B3))),""~""),1,12),"""")"),"")</f>
        <v/>
      </c>
      <c r="AR3" s="3"/>
      <c r="AS3" s="3"/>
      <c r="AT3" s="3"/>
      <c r="AU3" s="157"/>
      <c r="AV3" s="3"/>
      <c r="AW3" s="3"/>
      <c r="AX3" s="3"/>
      <c r="AY3" s="3"/>
      <c r="AZ3" s="3"/>
      <c r="BA3" s="3"/>
      <c r="BB3" s="3"/>
      <c r="BC3" s="3" t="str">
        <f t="array" ref="BC3">if(and(strMod&lt;&gt;"-",dexMod&lt;&gt;"-"),if($AQ3&lt;&gt;"",if($AW3&lt;&gt;"-",$AW3,0)
+if(isnumber(find(lower($AZ3),"strdexconintwischa")),if(indirect(lower($AZ3)&amp;"Mod")&lt;&gt;"-",indirect(lower($AZ3)&amp;"Mod"),0),
if(or(isnumber(find("finesse",lower($BA3))),and($AV3&lt;&gt;"〇",MonkLevel&lt;&gt;"",MonkLevel&gt;0)),max(strMod,dexMod),if(lower($AU3)="ranged",dexMod,strMod))),""),"-")</f>
        <v>-</v>
      </c>
    </row>
    <row r="4" ht="15.75" customHeight="1">
      <c r="B4" s="151"/>
      <c r="C4" s="152"/>
      <c r="D4" s="152"/>
      <c r="E4" s="152"/>
      <c r="F4" s="152"/>
      <c r="G4" s="152"/>
      <c r="H4" s="153" t="str">
        <f t="shared" si="1"/>
        <v/>
      </c>
      <c r="I4" s="154" t="str">
        <f>IFERROR(__xludf.DUMMYFUNCTION("if(and(proficiencyBonus,$AQ4&lt;&gt;"""",$BC4&lt;&gt;""-""),
        if(or(
              isnumber(find(""unarmed"",lower($AT4))),
              isnumber(find(""natural"",lower($AT4))),
              isnumber(find(""spell"",lower($AT4))),
              and(isnumber(f"&amp;"ind(""improvised"",lower($AQ4))),isnumber(find(""brawler"",feats))),
              isnumber(find(lower($AT4),lower(weaponProficiencies))),
              not(isna(filter(arrayformula(trim(split(lower(weaponProficiencies),"",""))),isnumber(find(arrayformula"&amp;"(trim(split(lower(weaponProficiencies),"",""))),lower($AQ4))))))
           ),
           proficiencyBonus,
           0
        )
        +if(lower($AU4)=""ranged"",archery+closeQuarters,0)
        +if(isnumber(find(""spell"",lower($AT4))),v2.1!$AR$91,0)"&amp;"
        +$BC4,
        ""-""
    )"),"-")</f>
        <v>-</v>
      </c>
      <c r="J4" s="152"/>
      <c r="K4" s="152"/>
      <c r="L4" s="153" t="str">
        <f t="shared" si="2"/>
        <v/>
      </c>
      <c r="M4" s="155" t="str">
        <f>IFERROR(__xludf.DUMMYFUNCTION("substitute(if(and($AQ4&lt;&gt;"""",proficiencyBonus&lt;&gt;""""),
 $AR4&amp;if(and(""melee""=lower($AU4),lower($AT4)&lt;&gt;""unarmed"",isnumber(find(""two-handed"",lower($R4&amp;$BA4)))),greatWeaponFighting,"""")
&amp;if($AR4&lt;&gt;0,""+""
&amp;if($BB4&lt;&gt;""〇"",$BC4,if($AW4&lt;&gt;""-"",$AW4,0))
+int"&amp;"(iferror(regexextract(regexextract(Additional!$AR$79,""proficiency with[a-z ]+""&amp;lower(array_constrain(filter('Attack Info'!$B$7:$B81,'Attack Info'!$B$7:$B81&lt;&gt;"""",isnumber(find(lower('Attack Info'!$B$7:$B81),lower($AQ4)))),1,1))&amp;""[a-z, ]+\+[0-9]+ bonus "&amp;"to damage[a-z ]+with such weapons""),""[0-9]+?""),0))
+int(iferror(regexextract(regexextract(Additional!$AR$79,""\+[0-9] bonus to damage[a-z ]+""&amp;lower(array_constrain(filter('Attack Info'!$B$7:$B81,'Attack Info'!$B$7:$B81&lt;&gt;"""",isnumber(find(lower('Attac"&amp;"k Info'!$B$7:$B81),lower($AQ4)))),1,1))),""[0-9]+?""),0))
+if(and(isnumber(find(""melee"",lower($AU4))),iserror(find(""unarmed"",lower($AT4))),iserror(find(""natural"",lower($AT4))),iserror(find(""two-handed"",lower($R4&amp;$BA4)))),dueling,0)
+if(isnumber(fi"&amp;"nd(""thrown"",lower($BA4))),thrown,0)
&amp;""[""&amp;$AS4&amp;""]"","""")
&amp;if(and(PaladinLevel&gt;=11,isnumber(find(""melee"",lower($AU4))),isnumber(find(lower($AT4),""simplemartial""))),""+1d8[radiant]"","""")
&amp;if($AX4&lt;&gt;""-"",""+""&amp;$AX4&amp;""[""&amp;$AY4&amp;""]"","""")
&amp;if(and(i"&amp;"snumber(find(""pact"",lower($AQ4))),isnumber(find(""lifedrinker"",lower(invocations)))),""+""&amp;chaMod&amp;""[necrotic]"","""")
&amp;""|***""&amp;textjoin("" "",True,if(and($AT4&lt;&gt;""-"",$AT4&lt;&gt;""Spell""),$AT4,""""),if($AU4&lt;&gt;""-"",$AU4,""""),if($AT4=""Spell"",$AT4,if(and("&amp;"$AT4&lt;&gt;""Unarmed"",$AT4&lt;&gt;""Natural""),""Weapon"","""")))&amp;"" Attack.***""
&amp;if($BA4&lt;&gt;""-"",""
""&amp;$BA4,"""")
&amp;if(and(isnumber(find(""melee"",lower($AU4))),iserror(find(""unarmed"",lower($AT4))),iserror(find(""natural"",lower($AT4))),iserror(find(""two-handed"&amp;""",lower($R4&amp;$AV4)))),""
""&amp;duelingText,"""")
&amp;if(and(or(lower($AT4)=""unarmed"",lower($AT4)=""natural""),unarmedFighting),""
""&amp;unarmedText,"""")
&amp;if(and(""melee""=lower($AU4),lower($AT4)&lt;&gt;""unarmed"",isnumber(find(""two-handed"",lower($R4&amp;$BA4)))),""
"""&amp;"&amp;gwfText,"""")
&amp;if(and(isnumber(find(""offhand"",lower($R4))),twoWeaponFighting),""
""&amp;twfText,"""")
&amp;if(and(lower($AU4)=""ranged"",lower($AT4)&lt;&gt;""spell""),if(archeryText&lt;&gt;"""",""
""&amp;archeryText,"""")&amp;if(closeQuartersText&lt;&gt;"""",""
""&amp;closeQuartersText,"""&amp;"""),"""")
&amp;if(isnumber(find(""thrown"",lower($BA4))),""
""&amp;thrownText,""""),""                 -""),""+0"","""")"),"                 -")</f>
        <v>                 -</v>
      </c>
      <c r="N4" s="156"/>
      <c r="O4" s="156"/>
      <c r="P4" s="156"/>
      <c r="Q4" s="156"/>
      <c r="R4" s="156"/>
      <c r="S4" s="156"/>
      <c r="T4" s="156"/>
      <c r="W4" s="151"/>
      <c r="X4" s="152"/>
      <c r="Y4" s="152"/>
      <c r="Z4" s="152"/>
      <c r="AA4" s="152"/>
      <c r="AB4" s="152"/>
      <c r="AC4" s="153" t="str">
        <f t="shared" si="3"/>
        <v/>
      </c>
      <c r="AD4" s="154" t="str">
        <f>IFERROR(__xludf.DUMMYFUNCTION("if(and(proficiencyBonus,$AQ15&lt;&gt;"""",$BC15&lt;&gt;""-""),
        if(or(
              isnumber(find(""unarmed"",lower($AT15))),
              isnumber(find(""natural"",lower($AT15))),
              isnumber(find(""spell"",lower($AT15))),
              and(isnum"&amp;"ber(find(""improvised"",lower($AQ15))),isnumber(find(""brawler"",feats))),
              isnumber(find(lower($AT15),lower(weaponProficiencies))),
              not(isna(filter(arrayformula(trim(split(lower(weaponProficiencies),"",""))),isnumber(find(array"&amp;"formula(trim(split(lower(weaponProficiencies),"",""))),lower($AQ15))))))
           ),
           proficiencyBonus,
           0
        )
        +if(lower($AU15)=""ranged"",archery+closeQuarters,0)
        +if(isnumber(find(""spell"",lower($AT15))),v2.1"&amp;"!$AR$91,0)
        +$BC15,
        ""-""
    )"),"-")</f>
        <v>-</v>
      </c>
      <c r="AE4" s="152"/>
      <c r="AF4" s="152"/>
      <c r="AG4" s="153" t="str">
        <f t="shared" si="4"/>
        <v/>
      </c>
      <c r="AH4" s="155" t="str">
        <f>IFERROR(__xludf.DUMMYFUNCTION("substitute(if(and($AQ15&lt;&gt;"""",proficiencyBonus&lt;&gt;""""),
 $AR15&amp;if(and(""melee""=lower($AU15),lower($AT15)&lt;&gt;""unarmed"",isnumber(find(""two-handed"",lower($W4&amp;$BA15)))),greatWeaponFighting,"""")
&amp;if($AR15&lt;&gt;0,""+""
&amp;if($BB15&lt;&gt;""〇"",$BC15,if($AW15&lt;&gt;""-"",$AW1"&amp;"5,0))
+int(iferror(regexextract(regexextract(Additional!$AR$79,""proficiency with[a-z ]+""&amp;lower(array_constrain(filter('Attack Info'!$B$7:$B81,'Attack Info'!$B$7:$B81&lt;&gt;"""",isnumber(find(lower('Attack Info'!$B$7:$B81),lower($AQ15)))),1,1))&amp;""[a-z, ]+\+[0"&amp;"-9]+ bonus to damage[a-z ]+with such weapons""),""[0-9]+?""),0))
+int(iferror(regexextract(regexextract(Additional!$AR$79,""\+[0-9] bonus to damage[a-z ]+""&amp;lower(array_constrain(filter('Attack Info'!$B$7:$B81,'Attack Info'!$B$7:$B81&lt;&gt;"""",isnumber(find(l"&amp;"ower('Attack Info'!$B$7:$B81),lower($AQ15)))),1,1))),""[0-9]+?""),0))
+if(and(isnumber(find(""melee"",lower($AU15))),iserror(find(""unarmed"",lower($AT15))),iserror(find(""natural"",lower($AT15))),iserror(find(""two-handed"",lower($W4&amp;$BA15)))),dueling,0)"&amp;"
+if(isnumber(find(""thrown"",lower($BA15))),thrown,0)
&amp;""[""&amp;$AS15&amp;""]"","""")
&amp;if(and(PaladinLevel&gt;=11,isnumber(find(""melee"",lower($AU15))),isnumber(find(lower($AT15),""simplemartial""))),""+1d8[radiant]"","""")
&amp;if($AX15&lt;&gt;""-"",""+""&amp;$AX15&amp;""[""&amp;$AY1"&amp;"5&amp;""]"","""")
&amp;if(and(isnumber(find(""pact"",lower($AQ15))),isnumber(find(""lifedrinker"",lower(invocations)))),""+""&amp;chaMod&amp;""[necrotic]"","""")
&amp;""|***""&amp;textjoin("" "",True,if(and($AT15&lt;&gt;""-"",$AT15&lt;&gt;""Spell""),$AT15,""""),if($AU15&lt;&gt;""-"",$AU15,""""),i"&amp;"f($AT15=""Spell"",$AT15,if(and($AT15&lt;&gt;""Unarmed"",$AT15&lt;&gt;""Natural""),""Weapon"","""")))&amp;"" Attack.***""
&amp;if($BA15&lt;&gt;""-"",""
""&amp;$BA15,"""")
&amp;if(and(isnumber(find(""melee"",lower($AU15))),iserror(find(""unarmed"",lower($AT15))),iserror(find(""natural"",low"&amp;"er($AT15))),iserror(find(""two-handed"",lower($W4&amp;$AV15)))),""
""&amp;duelingText,"""")
&amp;if(and(or(lower($AT15)=""unarmed"",lower($AT15)=""natural""),unarmedFighting),""
""&amp;unarmedText,"""")
&amp;if(and(""melee""=lower($AU15),lower($AT15)&lt;&gt;""unarmed"",isnumber(fi"&amp;"nd(""two-handed"",lower($W4&amp;$BA15)))),""
""&amp;gwfText,"""")
&amp;if(and(isnumber(find(""offhand"",lower($W4))),twoWeaponFighting),""
""&amp;twfText,"""")
&amp;if(and(lower($AU15)=""ranged"",lower($AT15)&lt;&gt;""spell""),if(archeryText&lt;&gt;"""",""
""&amp;archeryText,"""")&amp;if(closeQ"&amp;"uartersText&lt;&gt;"""",""
""&amp;closeQuartersText,""""),"""")
&amp;if(isnumber(find(""thrown"",lower($BA15))),""
""&amp;thrownText,""""),""                 -""),""+0"","""")"),"                 -")</f>
        <v>                 -</v>
      </c>
      <c r="AI4" s="156"/>
      <c r="AJ4" s="156"/>
      <c r="AK4" s="156"/>
      <c r="AL4" s="156"/>
      <c r="AM4" s="156"/>
      <c r="AN4" s="156"/>
      <c r="AO4" s="156"/>
      <c r="AQ4" s="3" t="str">
        <f>IFERROR(__xludf.DUMMYFUNCTION("iferror(array_constrain(split(textjoin(""~"",True,filter('Attack Info'!$B$7:$AN81,'Attack Info'!$B$7:$B81&lt;&gt;"""",lower('Attack Info'!$B$7:$B81)=lower(B4))),""~""),1,12),"""")"),"")</f>
        <v/>
      </c>
      <c r="AR4" s="3"/>
      <c r="AS4" s="3"/>
      <c r="AT4" s="3"/>
      <c r="AU4" s="157"/>
      <c r="AV4" s="3"/>
      <c r="AW4" s="3"/>
      <c r="AX4" s="3"/>
      <c r="AY4" s="3"/>
      <c r="AZ4" s="3"/>
      <c r="BA4" s="3"/>
      <c r="BB4" s="3"/>
      <c r="BC4" s="3" t="str">
        <f t="array" ref="BC4">if(and(strMod&lt;&gt;"-",dexMod&lt;&gt;"-"),if($AQ4&lt;&gt;"",if($AW4&lt;&gt;"-",$AW4,0)
+if(isnumber(find(lower($AZ4),"strdexconintwischa")),if(indirect(lower($AZ4)&amp;"Mod")&lt;&gt;"-",indirect(lower($AZ4)&amp;"Mod"),0),
if(or(isnumber(find("finesse",lower($BA4))),and($AV4&lt;&gt;"〇",MonkLevel&lt;&gt;"",MonkLevel&gt;0)),max(strMod,dexMod),if(lower($AU4)="ranged",dexMod,strMod))),""),"-")</f>
        <v>-</v>
      </c>
    </row>
    <row r="5" ht="15.75" customHeight="1">
      <c r="B5" s="151"/>
      <c r="C5" s="152"/>
      <c r="D5" s="152"/>
      <c r="E5" s="152"/>
      <c r="F5" s="152"/>
      <c r="G5" s="152"/>
      <c r="H5" s="307" t="str">
        <f t="shared" si="1"/>
        <v/>
      </c>
      <c r="I5" s="154" t="str">
        <f>IFERROR(__xludf.DUMMYFUNCTION("if(and(proficiencyBonus,$AQ5&lt;&gt;"""",$BC5&lt;&gt;""-""),
        if(or(
              isnumber(find(""unarmed"",lower($AT5))),
              isnumber(find(""natural"",lower($AT5))),
              isnumber(find(""spell"",lower($AT5))),
              and(isnumber(f"&amp;"ind(""improvised"",lower($AQ5))),isnumber(find(""brawler"",feats))),
              isnumber(find(lower($AT5),lower(weaponProficiencies))),
              not(isna(filter(arrayformula(trim(split(lower(weaponProficiencies),"",""))),isnumber(find(arrayformula"&amp;"(trim(split(lower(weaponProficiencies),"",""))),lower($AQ5))))))
           ),
           proficiencyBonus,
           0
        )
        +if(lower($AU5)=""ranged"",archery+closeQuarters,0)
        +if(isnumber(find(""spell"",lower($AT5))),v2.1!$AR$91,0)"&amp;"
        +$BC5,
        ""-""
    )"),"-")</f>
        <v>-</v>
      </c>
      <c r="J5" s="152"/>
      <c r="K5" s="152"/>
      <c r="L5" s="307" t="str">
        <f t="shared" si="2"/>
        <v/>
      </c>
      <c r="M5" s="155" t="str">
        <f>IFERROR(__xludf.DUMMYFUNCTION("substitute(if(and($AQ5&lt;&gt;"""",proficiencyBonus&lt;&gt;""""),
 $AR5&amp;if(and(""melee""=lower($AU5),lower($AT5)&lt;&gt;""unarmed"",isnumber(find(""two-handed"",lower($R5&amp;$BA5)))),greatWeaponFighting,"""")
&amp;if($AR5&lt;&gt;0,""+""
&amp;if($BB5&lt;&gt;""〇"",$BC5,if($AW5&lt;&gt;""-"",$AW5,0))
+int"&amp;"(iferror(regexextract(regexextract(Additional!$AR$79,""proficiency with[a-z ]+""&amp;lower(array_constrain(filter('Attack Info'!$B$7:$B81,'Attack Info'!$B$7:$B81&lt;&gt;"""",isnumber(find(lower('Attack Info'!$B$7:$B81),lower($AQ5)))),1,1))&amp;""[a-z, ]+\+[0-9]+ bonus "&amp;"to damage[a-z ]+with such weapons""),""[0-9]+?""),0))
+int(iferror(regexextract(regexextract(Additional!$AR$79,""\+[0-9] bonus to damage[a-z ]+""&amp;lower(array_constrain(filter('Attack Info'!$B$7:$B81,'Attack Info'!$B$7:$B81&lt;&gt;"""",isnumber(find(lower('Attac"&amp;"k Info'!$B$7:$B81),lower($AQ5)))),1,1))),""[0-9]+?""),0))
+if(and(isnumber(find(""melee"",lower($AU5))),iserror(find(""unarmed"",lower($AT5))),iserror(find(""natural"",lower($AT5))),iserror(find(""two-handed"",lower($R5&amp;$BA5)))),dueling,0)
+if(isnumber(fi"&amp;"nd(""thrown"",lower($BA5))),thrown,0)
&amp;""[""&amp;$AS5&amp;""]"","""")
&amp;if(and(PaladinLevel&gt;=11,isnumber(find(""melee"",lower($AU5))),isnumber(find(lower($AT5),""simplemartial""))),""+1d8[radiant]"","""")
&amp;if($AX5&lt;&gt;""-"",""+""&amp;$AX5&amp;""[""&amp;$AY5&amp;""]"","""")
&amp;if(and(i"&amp;"snumber(find(""pact"",lower($AQ5))),isnumber(find(""lifedrinker"",lower(invocations)))),""+""&amp;chaMod&amp;""[necrotic]"","""")
&amp;""|***""&amp;textjoin("" "",True,if(and($AT5&lt;&gt;""-"",$AT5&lt;&gt;""Spell""),$AT5,""""),if($AU5&lt;&gt;""-"",$AU5,""""),if($AT5=""Spell"",$AT5,if(and("&amp;"$AT5&lt;&gt;""Unarmed"",$AT5&lt;&gt;""Natural""),""Weapon"","""")))&amp;"" Attack.***""
&amp;if($BA5&lt;&gt;""-"",""
""&amp;$BA5,"""")
&amp;if(and(isnumber(find(""melee"",lower($AU5))),iserror(find(""unarmed"",lower($AT5))),iserror(find(""natural"",lower($AT5))),iserror(find(""two-handed"&amp;""",lower($R5&amp;$AV5)))),""
""&amp;duelingText,"""")
&amp;if(and(or(lower($AT5)=""unarmed"",lower($AT5)=""natural""),unarmedFighting),""
""&amp;unarmedText,"""")
&amp;if(and(""melee""=lower($AU5),lower($AT5)&lt;&gt;""unarmed"",isnumber(find(""two-handed"",lower($R5&amp;$BA5)))),""
"""&amp;"&amp;gwfText,"""")
&amp;if(and(isnumber(find(""offhand"",lower($R5))),twoWeaponFighting),""
""&amp;twfText,"""")
&amp;if(and(lower($AU5)=""ranged"",lower($AT5)&lt;&gt;""spell""),if(archeryText&lt;&gt;"""",""
""&amp;archeryText,"""")&amp;if(closeQuartersText&lt;&gt;"""",""
""&amp;closeQuartersText,"""&amp;"""),"""")
&amp;if(isnumber(find(""thrown"",lower($BA5))),""
""&amp;thrownText,""""),""                 -""),""+0"","""")"),"                 -")</f>
        <v>                 -</v>
      </c>
      <c r="N5" s="156"/>
      <c r="O5" s="156"/>
      <c r="P5" s="156"/>
      <c r="Q5" s="156"/>
      <c r="R5" s="156"/>
      <c r="S5" s="156"/>
      <c r="T5" s="156"/>
      <c r="W5" s="151"/>
      <c r="X5" s="152"/>
      <c r="Y5" s="152"/>
      <c r="Z5" s="152"/>
      <c r="AA5" s="152"/>
      <c r="AB5" s="152"/>
      <c r="AC5" s="307" t="str">
        <f t="shared" si="3"/>
        <v/>
      </c>
      <c r="AD5" s="154" t="str">
        <f>IFERROR(__xludf.DUMMYFUNCTION("if(and(proficiencyBonus,$AQ16&lt;&gt;"""",$BC16&lt;&gt;""-""),
        if(or(
              isnumber(find(""unarmed"",lower($AT16))),
              isnumber(find(""natural"",lower($AT16))),
              isnumber(find(""spell"",lower($AT16))),
              and(isnum"&amp;"ber(find(""improvised"",lower($AQ16))),isnumber(find(""brawler"",feats))),
              isnumber(find(lower($AT16),lower(weaponProficiencies))),
              not(isna(filter(arrayformula(trim(split(lower(weaponProficiencies),"",""))),isnumber(find(array"&amp;"formula(trim(split(lower(weaponProficiencies),"",""))),lower($AQ16))))))
           ),
           proficiencyBonus,
           0
        )
        +if(lower($AU16)=""ranged"",archery+closeQuarters,0)
        +if(isnumber(find(""spell"",lower($AT16))),v2.1"&amp;"!$AR$91,0)
        +$BC16,
        ""-""
    )"),"-")</f>
        <v>-</v>
      </c>
      <c r="AE5" s="152"/>
      <c r="AF5" s="152"/>
      <c r="AG5" s="307" t="str">
        <f t="shared" si="4"/>
        <v/>
      </c>
      <c r="AH5" s="155" t="str">
        <f>IFERROR(__xludf.DUMMYFUNCTION("substitute(if(and($AQ16&lt;&gt;"""",proficiencyBonus&lt;&gt;""""),
 $AR16&amp;if(and(""melee""=lower($AU16),lower($AT16)&lt;&gt;""unarmed"",isnumber(find(""two-handed"",lower($W5&amp;$BA16)))),greatWeaponFighting,"""")
&amp;if($AR16&lt;&gt;0,""+""
&amp;if($BB16&lt;&gt;""〇"",$BC16,if($AW16&lt;&gt;""-"",$AW1"&amp;"6,0))
+int(iferror(regexextract(regexextract(Additional!$AR$79,""proficiency with[a-z ]+""&amp;lower(array_constrain(filter('Attack Info'!$B$7:$B81,'Attack Info'!$B$7:$B81&lt;&gt;"""",isnumber(find(lower('Attack Info'!$B$7:$B81),lower($AQ16)))),1,1))&amp;""[a-z, ]+\+[0"&amp;"-9]+ bonus to damage[a-z ]+with such weapons""),""[0-9]+?""),0))
+int(iferror(regexextract(regexextract(Additional!$AR$79,""\+[0-9] bonus to damage[a-z ]+""&amp;lower(array_constrain(filter('Attack Info'!$B$7:$B81,'Attack Info'!$B$7:$B81&lt;&gt;"""",isnumber(find(l"&amp;"ower('Attack Info'!$B$7:$B81),lower($AQ16)))),1,1))),""[0-9]+?""),0))
+if(and(isnumber(find(""melee"",lower($AU16))),iserror(find(""unarmed"",lower($AT16))),iserror(find(""natural"",lower($AT16))),iserror(find(""two-handed"",lower($W5&amp;$BA16)))),dueling,0)"&amp;"
+if(isnumber(find(""thrown"",lower($BA16))),thrown,0)
&amp;""[""&amp;$AS16&amp;""]"","""")
&amp;if(and(PaladinLevel&gt;=11,isnumber(find(""melee"",lower($AU16))),isnumber(find(lower($AT16),""simplemartial""))),""+1d8[radiant]"","""")
&amp;if($AX16&lt;&gt;""-"",""+""&amp;$AX16&amp;""[""&amp;$AY1"&amp;"6&amp;""]"","""")
&amp;if(and(isnumber(find(""pact"",lower($AQ16))),isnumber(find(""lifedrinker"",lower(invocations)))),""+""&amp;chaMod&amp;""[necrotic]"","""")
&amp;""|***""&amp;textjoin("" "",True,if(and($AT16&lt;&gt;""-"",$AT16&lt;&gt;""Spell""),$AT16,""""),if($AU16&lt;&gt;""-"",$AU16,""""),i"&amp;"f($AT16=""Spell"",$AT16,if(and($AT16&lt;&gt;""Unarmed"",$AT16&lt;&gt;""Natural""),""Weapon"","""")))&amp;"" Attack.***""
&amp;if($BA16&lt;&gt;""-"",""
""&amp;$BA16,"""")
&amp;if(and(isnumber(find(""melee"",lower($AU16))),iserror(find(""unarmed"",lower($AT16))),iserror(find(""natural"",low"&amp;"er($AT16))),iserror(find(""two-handed"",lower($W5&amp;$AV16)))),""
""&amp;duelingText,"""")
&amp;if(and(or(lower($AT16)=""unarmed"",lower($AT16)=""natural""),unarmedFighting),""
""&amp;unarmedText,"""")
&amp;if(and(""melee""=lower($AU16),lower($AT16)&lt;&gt;""unarmed"",isnumber(fi"&amp;"nd(""two-handed"",lower($W5&amp;$BA16)))),""
""&amp;gwfText,"""")
&amp;if(and(isnumber(find(""offhand"",lower($W5))),twoWeaponFighting),""
""&amp;twfText,"""")
&amp;if(and(lower($AU16)=""ranged"",lower($AT16)&lt;&gt;""spell""),if(archeryText&lt;&gt;"""",""
""&amp;archeryText,"""")&amp;if(closeQ"&amp;"uartersText&lt;&gt;"""",""
""&amp;closeQuartersText,""""),"""")
&amp;if(isnumber(find(""thrown"",lower($BA16))),""
""&amp;thrownText,""""),""                 -""),""+0"","""")"),"                 -")</f>
        <v>                 -</v>
      </c>
      <c r="AI5" s="156"/>
      <c r="AJ5" s="156"/>
      <c r="AK5" s="156"/>
      <c r="AL5" s="156"/>
      <c r="AM5" s="156"/>
      <c r="AN5" s="156"/>
      <c r="AO5" s="156"/>
      <c r="AQ5" s="3" t="str">
        <f>IFERROR(__xludf.DUMMYFUNCTION("iferror(array_constrain(split(textjoin(""~"",True,filter('Attack Info'!$B$7:$AN81,'Attack Info'!$B$7:$B81&lt;&gt;"""",lower('Attack Info'!$B$7:$B81)=lower(B5))),""~""),1,12),"""")"),"")</f>
        <v/>
      </c>
      <c r="AR5" s="3"/>
      <c r="AS5" s="3"/>
      <c r="AT5" s="3"/>
      <c r="AU5" s="157"/>
      <c r="AV5" s="3"/>
      <c r="AW5" s="3"/>
      <c r="AX5" s="3"/>
      <c r="AY5" s="3"/>
      <c r="AZ5" s="3"/>
      <c r="BA5" s="3"/>
      <c r="BB5" s="3"/>
      <c r="BC5" s="3" t="str">
        <f t="array" ref="BC5">if(and(strMod&lt;&gt;"-",dexMod&lt;&gt;"-"),if($AQ5&lt;&gt;"",if($AW5&lt;&gt;"-",$AW5,0)
+if(isnumber(find(lower($AZ5),"strdexconintwischa")),if(indirect(lower($AZ5)&amp;"Mod")&lt;&gt;"-",indirect(lower($AZ5)&amp;"Mod"),0),
if(or(isnumber(find("finesse",lower($BA5))),and($AV5&lt;&gt;"〇",MonkLevel&lt;&gt;"",MonkLevel&gt;0)),max(strMod,dexMod),if(lower($AU5)="ranged",dexMod,strMod))),""),"-")</f>
        <v>-</v>
      </c>
    </row>
    <row r="6" ht="15.75" customHeight="1">
      <c r="B6" s="151"/>
      <c r="C6" s="152"/>
      <c r="D6" s="152"/>
      <c r="E6" s="152"/>
      <c r="F6" s="152"/>
      <c r="G6" s="152"/>
      <c r="H6" s="307" t="str">
        <f t="shared" si="1"/>
        <v/>
      </c>
      <c r="I6" s="154" t="str">
        <f>IFERROR(__xludf.DUMMYFUNCTION("if(and(proficiencyBonus,$AQ6&lt;&gt;"""",$BC6&lt;&gt;""-""),
        if(or(
              isnumber(find(""unarmed"",lower($AT6))),
              isnumber(find(""natural"",lower($AT6))),
              isnumber(find(""spell"",lower($AT6))),
              and(isnumber(f"&amp;"ind(""improvised"",lower($AQ6))),isnumber(find(""brawler"",feats))),
              isnumber(find(lower($AT6),lower(weaponProficiencies))),
              not(isna(filter(arrayformula(trim(split(lower(weaponProficiencies),"",""))),isnumber(find(arrayformula"&amp;"(trim(split(lower(weaponProficiencies),"",""))),lower($AQ6))))))
           ),
           proficiencyBonus,
           0
        )
        +if(lower($AU6)=""ranged"",archery+closeQuarters,0)
        +if(isnumber(find(""spell"",lower($AT6))),v2.1!$AR$91,0)"&amp;"
        +$BC6,
        ""-""
    )"),"-")</f>
        <v>-</v>
      </c>
      <c r="J6" s="152"/>
      <c r="K6" s="152"/>
      <c r="L6" s="307" t="str">
        <f t="shared" si="2"/>
        <v/>
      </c>
      <c r="M6" s="155" t="str">
        <f>IFERROR(__xludf.DUMMYFUNCTION("substitute(if(and($AQ6&lt;&gt;"""",proficiencyBonus&lt;&gt;""""),
 $AR6&amp;if(and(""melee""=lower($AU6),lower($AT6)&lt;&gt;""unarmed"",isnumber(find(""two-handed"",lower($R6&amp;$BA6)))),greatWeaponFighting,"""")
&amp;if($AR6&lt;&gt;0,""+""
&amp;if($BB6&lt;&gt;""〇"",$BC6,if($AW6&lt;&gt;""-"",$AW6,0))
+int"&amp;"(iferror(regexextract(regexextract(Additional!$AR$79,""proficiency with[a-z ]+""&amp;lower(array_constrain(filter('Attack Info'!$B$7:$B81,'Attack Info'!$B$7:$B81&lt;&gt;"""",isnumber(find(lower('Attack Info'!$B$7:$B81),lower($AQ6)))),1,1))&amp;""[a-z, ]+\+[0-9]+ bonus "&amp;"to damage[a-z ]+with such weapons""),""[0-9]+?""),0))
+int(iferror(regexextract(regexextract(Additional!$AR$79,""\+[0-9] bonus to damage[a-z ]+""&amp;lower(array_constrain(filter('Attack Info'!$B$7:$B81,'Attack Info'!$B$7:$B81&lt;&gt;"""",isnumber(find(lower('Attac"&amp;"k Info'!$B$7:$B81),lower($AQ6)))),1,1))),""[0-9]+?""),0))
+if(and(isnumber(find(""melee"",lower($AU6))),iserror(find(""unarmed"",lower($AT6))),iserror(find(""natural"",lower($AT6))),iserror(find(""two-handed"",lower($R6&amp;$BA6)))),dueling,0)
+if(isnumber(fi"&amp;"nd(""thrown"",lower($BA6))),thrown,0)
&amp;""[""&amp;$AS6&amp;""]"","""")
&amp;if(and(PaladinLevel&gt;=11,isnumber(find(""melee"",lower($AU6))),isnumber(find(lower($AT6),""simplemartial""))),""+1d8[radiant]"","""")
&amp;if($AX6&lt;&gt;""-"",""+""&amp;$AX6&amp;""[""&amp;$AY6&amp;""]"","""")
&amp;if(and(i"&amp;"snumber(find(""pact"",lower($AQ6))),isnumber(find(""lifedrinker"",lower(invocations)))),""+""&amp;chaMod&amp;""[necrotic]"","""")
&amp;""|***""&amp;textjoin("" "",True,if(and($AT6&lt;&gt;""-"",$AT6&lt;&gt;""Spell""),$AT6,""""),if($AU6&lt;&gt;""-"",$AU6,""""),if($AT6=""Spell"",$AT6,if(and("&amp;"$AT6&lt;&gt;""Unarmed"",$AT6&lt;&gt;""Natural""),""Weapon"","""")))&amp;"" Attack.***""
&amp;if($BA6&lt;&gt;""-"",""
""&amp;$BA6,"""")
&amp;if(and(isnumber(find(""melee"",lower($AU6))),iserror(find(""unarmed"",lower($AT6))),iserror(find(""natural"",lower($AT6))),iserror(find(""two-handed"&amp;""",lower($R6&amp;$AV6)))),""
""&amp;duelingText,"""")
&amp;if(and(or(lower($AT6)=""unarmed"",lower($AT6)=""natural""),unarmedFighting),""
""&amp;unarmedText,"""")
&amp;if(and(""melee""=lower($AU6),lower($AT6)&lt;&gt;""unarmed"",isnumber(find(""two-handed"",lower($R6&amp;$BA6)))),""
"""&amp;"&amp;gwfText,"""")
&amp;if(and(isnumber(find(""offhand"",lower($R6))),twoWeaponFighting),""
""&amp;twfText,"""")
&amp;if(and(lower($AU6)=""ranged"",lower($AT6)&lt;&gt;""spell""),if(archeryText&lt;&gt;"""",""
""&amp;archeryText,"""")&amp;if(closeQuartersText&lt;&gt;"""",""
""&amp;closeQuartersText,"""&amp;"""),"""")
&amp;if(isnumber(find(""thrown"",lower($BA6))),""
""&amp;thrownText,""""),""                 -""),""+0"","""")"),"                 -")</f>
        <v>                 -</v>
      </c>
      <c r="N6" s="156"/>
      <c r="O6" s="156"/>
      <c r="P6" s="156"/>
      <c r="Q6" s="156"/>
      <c r="R6" s="156"/>
      <c r="S6" s="156"/>
      <c r="T6" s="156"/>
      <c r="W6" s="151"/>
      <c r="X6" s="152"/>
      <c r="Y6" s="152"/>
      <c r="Z6" s="152"/>
      <c r="AA6" s="152"/>
      <c r="AB6" s="152"/>
      <c r="AC6" s="307" t="str">
        <f t="shared" si="3"/>
        <v/>
      </c>
      <c r="AD6" s="154" t="str">
        <f>IFERROR(__xludf.DUMMYFUNCTION("if(and(proficiencyBonus,$AQ17&lt;&gt;"""",$BC17&lt;&gt;""-""),
        if(or(
              isnumber(find(""unarmed"",lower($AT17))),
              isnumber(find(""natural"",lower($AT17))),
              isnumber(find(""spell"",lower($AT17))),
              and(isnum"&amp;"ber(find(""improvised"",lower($AQ17))),isnumber(find(""brawler"",feats))),
              isnumber(find(lower($AT17),lower(weaponProficiencies))),
              not(isna(filter(arrayformula(trim(split(lower(weaponProficiencies),"",""))),isnumber(find(array"&amp;"formula(trim(split(lower(weaponProficiencies),"",""))),lower($AQ17))))))
           ),
           proficiencyBonus,
           0
        )
        +if(lower($AU17)=""ranged"",archery+closeQuarters,0)
        +if(isnumber(find(""spell"",lower($AT17))),v2.1"&amp;"!$AR$91,0)
        +$BC17,
        ""-""
    )"),"-")</f>
        <v>-</v>
      </c>
      <c r="AE6" s="152"/>
      <c r="AF6" s="152"/>
      <c r="AG6" s="307" t="str">
        <f t="shared" si="4"/>
        <v/>
      </c>
      <c r="AH6" s="155" t="str">
        <f>IFERROR(__xludf.DUMMYFUNCTION("substitute(if(and($AQ17&lt;&gt;"""",proficiencyBonus&lt;&gt;""""),
 $AR17&amp;if(and(""melee""=lower($AU17),lower($AT17)&lt;&gt;""unarmed"",isnumber(find(""two-handed"",lower($W6&amp;$BA17)))),greatWeaponFighting,"""")
&amp;if($AR17&lt;&gt;0,""+""
&amp;if($BB17&lt;&gt;""〇"",$BC17,if($AW17&lt;&gt;""-"",$AW1"&amp;"7,0))
+int(iferror(regexextract(regexextract(Additional!$AR$79,""proficiency with[a-z ]+""&amp;lower(array_constrain(filter('Attack Info'!$B$7:$B81,'Attack Info'!$B$7:$B81&lt;&gt;"""",isnumber(find(lower('Attack Info'!$B$7:$B81),lower($AQ17)))),1,1))&amp;""[a-z, ]+\+[0"&amp;"-9]+ bonus to damage[a-z ]+with such weapons""),""[0-9]+?""),0))
+int(iferror(regexextract(regexextract(Additional!$AR$79,""\+[0-9] bonus to damage[a-z ]+""&amp;lower(array_constrain(filter('Attack Info'!$B$7:$B81,'Attack Info'!$B$7:$B81&lt;&gt;"""",isnumber(find(l"&amp;"ower('Attack Info'!$B$7:$B81),lower($AQ17)))),1,1))),""[0-9]+?""),0))
+if(and(isnumber(find(""melee"",lower($AU17))),iserror(find(""unarmed"",lower($AT17))),iserror(find(""natural"",lower($AT17))),iserror(find(""two-handed"",lower($W6&amp;$BA17)))),dueling,0)"&amp;"
+if(isnumber(find(""thrown"",lower($BA17))),thrown,0)
&amp;""[""&amp;$AS17&amp;""]"","""")
&amp;if(and(PaladinLevel&gt;=11,isnumber(find(""melee"",lower($AU17))),isnumber(find(lower($AT17),""simplemartial""))),""+1d8[radiant]"","""")
&amp;if($AX17&lt;&gt;""-"",""+""&amp;$AX17&amp;""[""&amp;$AY1"&amp;"7&amp;""]"","""")
&amp;if(and(isnumber(find(""pact"",lower($AQ17))),isnumber(find(""lifedrinker"",lower(invocations)))),""+""&amp;chaMod&amp;""[necrotic]"","""")
&amp;""|***""&amp;textjoin("" "",True,if(and($AT17&lt;&gt;""-"",$AT17&lt;&gt;""Spell""),$AT17,""""),if($AU17&lt;&gt;""-"",$AU17,""""),i"&amp;"f($AT17=""Spell"",$AT17,if(and($AT17&lt;&gt;""Unarmed"",$AT17&lt;&gt;""Natural""),""Weapon"","""")))&amp;"" Attack.***""
&amp;if($BA17&lt;&gt;""-"",""
""&amp;$BA17,"""")
&amp;if(and(isnumber(find(""melee"",lower($AU17))),iserror(find(""unarmed"",lower($AT17))),iserror(find(""natural"",low"&amp;"er($AT17))),iserror(find(""two-handed"",lower($W6&amp;$AV17)))),""
""&amp;duelingText,"""")
&amp;if(and(or(lower($AT17)=""unarmed"",lower($AT17)=""natural""),unarmedFighting),""
""&amp;unarmedText,"""")
&amp;if(and(""melee""=lower($AU17),lower($AT17)&lt;&gt;""unarmed"",isnumber(fi"&amp;"nd(""two-handed"",lower($W6&amp;$BA17)))),""
""&amp;gwfText,"""")
&amp;if(and(isnumber(find(""offhand"",lower($W6))),twoWeaponFighting),""
""&amp;twfText,"""")
&amp;if(and(lower($AU17)=""ranged"",lower($AT17)&lt;&gt;""spell""),if(archeryText&lt;&gt;"""",""
""&amp;archeryText,"""")&amp;if(closeQ"&amp;"uartersText&lt;&gt;"""",""
""&amp;closeQuartersText,""""),"""")
&amp;if(isnumber(find(""thrown"",lower($BA17))),""
""&amp;thrownText,""""),""                 -""),""+0"","""")"),"                 -")</f>
        <v>                 -</v>
      </c>
      <c r="AI6" s="156"/>
      <c r="AJ6" s="156"/>
      <c r="AK6" s="156"/>
      <c r="AL6" s="156"/>
      <c r="AM6" s="156"/>
      <c r="AN6" s="156"/>
      <c r="AO6" s="156"/>
      <c r="AQ6" s="3" t="str">
        <f>IFERROR(__xludf.DUMMYFUNCTION("iferror(array_constrain(split(textjoin(""~"",True,filter('Attack Info'!$B$7:$AN81,'Attack Info'!$B$7:$B81&lt;&gt;"""",lower('Attack Info'!$B$7:$B81)=lower(B6))),""~""),1,12),"""")"),"")</f>
        <v/>
      </c>
      <c r="AR6" s="3"/>
      <c r="AS6" s="3"/>
      <c r="AT6" s="3"/>
      <c r="AU6" s="157"/>
      <c r="AV6" s="3"/>
      <c r="AW6" s="3"/>
      <c r="AX6" s="3"/>
      <c r="AY6" s="3"/>
      <c r="AZ6" s="3"/>
      <c r="BA6" s="3"/>
      <c r="BB6" s="3"/>
      <c r="BC6" s="3" t="str">
        <f t="array" ref="BC6">if(and(strMod&lt;&gt;"-",dexMod&lt;&gt;"-"),if($AQ6&lt;&gt;"",if($AW6&lt;&gt;"-",$AW6,0)
+if(isnumber(find(lower($AZ6),"strdexconintwischa")),if(indirect(lower($AZ6)&amp;"Mod")&lt;&gt;"-",indirect(lower($AZ6)&amp;"Mod"),0),
if(or(isnumber(find("finesse",lower($BA6))),and($AV6&lt;&gt;"〇",MonkLevel&lt;&gt;"",MonkLevel&gt;0)),max(strMod,dexMod),if(lower($AU6)="ranged",dexMod,strMod))),""),"-")</f>
        <v>-</v>
      </c>
    </row>
    <row r="7" ht="15.75" customHeight="1">
      <c r="B7" s="151"/>
      <c r="C7" s="152"/>
      <c r="D7" s="152"/>
      <c r="E7" s="152"/>
      <c r="F7" s="152"/>
      <c r="G7" s="152"/>
      <c r="H7" s="307" t="str">
        <f t="shared" si="1"/>
        <v/>
      </c>
      <c r="I7" s="154" t="str">
        <f>IFERROR(__xludf.DUMMYFUNCTION("if(and(proficiencyBonus,$AQ7&lt;&gt;"""",$BC7&lt;&gt;""-""),
        if(or(
              isnumber(find(""unarmed"",lower($AT7))),
              isnumber(find(""natural"",lower($AT7))),
              isnumber(find(""spell"",lower($AT7))),
              and(isnumber(f"&amp;"ind(""improvised"",lower($AQ7))),isnumber(find(""brawler"",feats))),
              isnumber(find(lower($AT7),lower(weaponProficiencies))),
              not(isna(filter(arrayformula(trim(split(lower(weaponProficiencies),"",""))),isnumber(find(arrayformula"&amp;"(trim(split(lower(weaponProficiencies),"",""))),lower($AQ7))))))
           ),
           proficiencyBonus,
           0
        )
        +if(lower($AU7)=""ranged"",archery+closeQuarters,0)
        +if(isnumber(find(""spell"",lower($AT7))),v2.1!$AR$91,0)"&amp;"
        +$BC7,
        ""-""
    )"),"-")</f>
        <v>-</v>
      </c>
      <c r="J7" s="152"/>
      <c r="K7" s="152"/>
      <c r="L7" s="307" t="str">
        <f t="shared" si="2"/>
        <v/>
      </c>
      <c r="M7" s="155" t="str">
        <f>IFERROR(__xludf.DUMMYFUNCTION("substitute(if(and($AQ7&lt;&gt;"""",proficiencyBonus&lt;&gt;""""),
 $AR7&amp;if(and(""melee""=lower($AU7),lower($AT7)&lt;&gt;""unarmed"",isnumber(find(""two-handed"",lower($R7&amp;$BA7)))),greatWeaponFighting,"""")
&amp;if($AR7&lt;&gt;0,""+""
&amp;if($BB7&lt;&gt;""〇"",$BC7,if($AW7&lt;&gt;""-"",$AW7,0))
+int"&amp;"(iferror(regexextract(regexextract(Additional!$AR$79,""proficiency with[a-z ]+""&amp;lower(array_constrain(filter('Attack Info'!$B$7:$B81,'Attack Info'!$B$7:$B81&lt;&gt;"""",isnumber(find(lower('Attack Info'!$B$7:$B81),lower($AQ7)))),1,1))&amp;""[a-z, ]+\+[0-9]+ bonus "&amp;"to damage[a-z ]+with such weapons""),""[0-9]+?""),0))
+int(iferror(regexextract(regexextract(Additional!$AR$79,""\+[0-9] bonus to damage[a-z ]+""&amp;lower(array_constrain(filter('Attack Info'!$B$7:$B81,'Attack Info'!$B$7:$B81&lt;&gt;"""",isnumber(find(lower('Attac"&amp;"k Info'!$B$7:$B81),lower($AQ7)))),1,1))),""[0-9]+?""),0))
+if(and(isnumber(find(""melee"",lower($AU7))),iserror(find(""unarmed"",lower($AT7))),iserror(find(""natural"",lower($AT7))),iserror(find(""two-handed"",lower($R7&amp;$BA7)))),dueling,0)
+if(isnumber(fi"&amp;"nd(""thrown"",lower($BA7))),thrown,0)
&amp;""[""&amp;$AS7&amp;""]"","""")
&amp;if(and(PaladinLevel&gt;=11,isnumber(find(""melee"",lower($AU7))),isnumber(find(lower($AT7),""simplemartial""))),""+1d8[radiant]"","""")
&amp;if($AX7&lt;&gt;""-"",""+""&amp;$AX7&amp;""[""&amp;$AY7&amp;""]"","""")
&amp;if(and(i"&amp;"snumber(find(""pact"",lower($AQ7))),isnumber(find(""lifedrinker"",lower(invocations)))),""+""&amp;chaMod&amp;""[necrotic]"","""")
&amp;""|***""&amp;textjoin("" "",True,if(and($AT7&lt;&gt;""-"",$AT7&lt;&gt;""Spell""),$AT7,""""),if($AU7&lt;&gt;""-"",$AU7,""""),if($AT7=""Spell"",$AT7,if(and("&amp;"$AT7&lt;&gt;""Unarmed"",$AT7&lt;&gt;""Natural""),""Weapon"","""")))&amp;"" Attack.***""
&amp;if($BA7&lt;&gt;""-"",""
""&amp;$BA7,"""")
&amp;if(and(isnumber(find(""melee"",lower($AU7))),iserror(find(""unarmed"",lower($AT7))),iserror(find(""natural"",lower($AT7))),iserror(find(""two-handed"&amp;""",lower($R7&amp;$AV7)))),""
""&amp;duelingText,"""")
&amp;if(and(or(lower($AT7)=""unarmed"",lower($AT7)=""natural""),unarmedFighting),""
""&amp;unarmedText,"""")
&amp;if(and(""melee""=lower($AU7),lower($AT7)&lt;&gt;""unarmed"",isnumber(find(""two-handed"",lower($R7&amp;$BA7)))),""
"""&amp;"&amp;gwfText,"""")
&amp;if(and(isnumber(find(""offhand"",lower($R7))),twoWeaponFighting),""
""&amp;twfText,"""")
&amp;if(and(lower($AU7)=""ranged"",lower($AT7)&lt;&gt;""spell""),if(archeryText&lt;&gt;"""",""
""&amp;archeryText,"""")&amp;if(closeQuartersText&lt;&gt;"""",""
""&amp;closeQuartersText,"""&amp;"""),"""")
&amp;if(isnumber(find(""thrown"",lower($BA7))),""
""&amp;thrownText,""""),""                 -""),""+0"","""")"),"                 -")</f>
        <v>                 -</v>
      </c>
      <c r="N7" s="156"/>
      <c r="O7" s="156"/>
      <c r="P7" s="156"/>
      <c r="Q7" s="156"/>
      <c r="R7" s="156"/>
      <c r="S7" s="156"/>
      <c r="T7" s="156"/>
      <c r="W7" s="151"/>
      <c r="X7" s="152"/>
      <c r="Y7" s="152"/>
      <c r="Z7" s="152"/>
      <c r="AA7" s="152"/>
      <c r="AB7" s="152"/>
      <c r="AC7" s="307" t="str">
        <f t="shared" si="3"/>
        <v/>
      </c>
      <c r="AD7" s="154" t="str">
        <f>IFERROR(__xludf.DUMMYFUNCTION("if(and(proficiencyBonus,$AQ18&lt;&gt;"""",$BC18&lt;&gt;""-""),
        if(or(
              isnumber(find(""unarmed"",lower($AT18))),
              isnumber(find(""natural"",lower($AT18))),
              isnumber(find(""spell"",lower($AT18))),
              and(isnum"&amp;"ber(find(""improvised"",lower($AQ18))),isnumber(find(""brawler"",feats))),
              isnumber(find(lower($AT18),lower(weaponProficiencies))),
              not(isna(filter(arrayformula(trim(split(lower(weaponProficiencies),"",""))),isnumber(find(array"&amp;"formula(trim(split(lower(weaponProficiencies),"",""))),lower($AQ18))))))
           ),
           proficiencyBonus,
           0
        )
        +if(lower($AU18)=""ranged"",archery+closeQuarters,0)
        +if(isnumber(find(""spell"",lower($AT18))),v2.1"&amp;"!$AR$91,0)
        +$BC18,
        ""-""
    )"),"-")</f>
        <v>-</v>
      </c>
      <c r="AE7" s="152"/>
      <c r="AF7" s="152"/>
      <c r="AG7" s="307" t="str">
        <f t="shared" si="4"/>
        <v/>
      </c>
      <c r="AH7" s="155" t="str">
        <f>IFERROR(__xludf.DUMMYFUNCTION("substitute(if(and($AQ18&lt;&gt;"""",proficiencyBonus&lt;&gt;""""),
 $AR18&amp;if(and(""melee""=lower($AU18),lower($AT18)&lt;&gt;""unarmed"",isnumber(find(""two-handed"",lower($W7&amp;$BA18)))),greatWeaponFighting,"""")
&amp;if($AR18&lt;&gt;0,""+""
&amp;if($BB18&lt;&gt;""〇"",$BC18,if($AW18&lt;&gt;""-"",$AW1"&amp;"8,0))
+int(iferror(regexextract(regexextract(Additional!$AR$79,""proficiency with[a-z ]+""&amp;lower(array_constrain(filter('Attack Info'!$B$7:$B81,'Attack Info'!$B$7:$B81&lt;&gt;"""",isnumber(find(lower('Attack Info'!$B$7:$B81),lower($AQ18)))),1,1))&amp;""[a-z, ]+\+[0"&amp;"-9]+ bonus to damage[a-z ]+with such weapons""),""[0-9]+?""),0))
+int(iferror(regexextract(regexextract(Additional!$AR$79,""\+[0-9] bonus to damage[a-z ]+""&amp;lower(array_constrain(filter('Attack Info'!$B$7:$B81,'Attack Info'!$B$7:$B81&lt;&gt;"""",isnumber(find(l"&amp;"ower('Attack Info'!$B$7:$B81),lower($AQ18)))),1,1))),""[0-9]+?""),0))
+if(and(isnumber(find(""melee"",lower($AU18))),iserror(find(""unarmed"",lower($AT18))),iserror(find(""natural"",lower($AT18))),iserror(find(""two-handed"",lower($W7&amp;$BA18)))),dueling,0)"&amp;"
+if(isnumber(find(""thrown"",lower($BA18))),thrown,0)
&amp;""[""&amp;$AS18&amp;""]"","""")
&amp;if(and(PaladinLevel&gt;=11,isnumber(find(""melee"",lower($AU18))),isnumber(find(lower($AT18),""simplemartial""))),""+1d8[radiant]"","""")
&amp;if($AX18&lt;&gt;""-"",""+""&amp;$AX18&amp;""[""&amp;$AY1"&amp;"8&amp;""]"","""")
&amp;if(and(isnumber(find(""pact"",lower($AQ18))),isnumber(find(""lifedrinker"",lower(invocations)))),""+""&amp;chaMod&amp;""[necrotic]"","""")
&amp;""|***""&amp;textjoin("" "",True,if(and($AT18&lt;&gt;""-"",$AT18&lt;&gt;""Spell""),$AT18,""""),if($AU18&lt;&gt;""-"",$AU18,""""),i"&amp;"f($AT18=""Spell"",$AT18,if(and($AT18&lt;&gt;""Unarmed"",$AT18&lt;&gt;""Natural""),""Weapon"","""")))&amp;"" Attack.***""
&amp;if($BA18&lt;&gt;""-"",""
""&amp;$BA18,"""")
&amp;if(and(isnumber(find(""melee"",lower($AU18))),iserror(find(""unarmed"",lower($AT18))),iserror(find(""natural"",low"&amp;"er($AT18))),iserror(find(""two-handed"",lower($W7&amp;$AV18)))),""
""&amp;duelingText,"""")
&amp;if(and(or(lower($AT18)=""unarmed"",lower($AT18)=""natural""),unarmedFighting),""
""&amp;unarmedText,"""")
&amp;if(and(""melee""=lower($AU18),lower($AT18)&lt;&gt;""unarmed"",isnumber(fi"&amp;"nd(""two-handed"",lower($W7&amp;$BA18)))),""
""&amp;gwfText,"""")
&amp;if(and(isnumber(find(""offhand"",lower($W7))),twoWeaponFighting),""
""&amp;twfText,"""")
&amp;if(and(lower($AU18)=""ranged"",lower($AT18)&lt;&gt;""spell""),if(archeryText&lt;&gt;"""",""
""&amp;archeryText,"""")&amp;if(closeQ"&amp;"uartersText&lt;&gt;"""",""
""&amp;closeQuartersText,""""),"""")
&amp;if(isnumber(find(""thrown"",lower($BA18))),""
""&amp;thrownText,""""),""                 -""),""+0"","""")"),"                 -")</f>
        <v>                 -</v>
      </c>
      <c r="AI7" s="156"/>
      <c r="AJ7" s="156"/>
      <c r="AK7" s="156"/>
      <c r="AL7" s="156"/>
      <c r="AM7" s="156"/>
      <c r="AN7" s="156"/>
      <c r="AO7" s="156"/>
      <c r="AQ7" s="3" t="str">
        <f>IFERROR(__xludf.DUMMYFUNCTION("iferror(array_constrain(split(textjoin(""~"",True,filter('Attack Info'!$B$7:$AN81,'Attack Info'!$B$7:$B81&lt;&gt;"""",lower('Attack Info'!$B$7:$B81)=lower(B7))),""~""),1,12),"""")"),"")</f>
        <v/>
      </c>
      <c r="AR7" s="3"/>
      <c r="AS7" s="3"/>
      <c r="AT7" s="3"/>
      <c r="AU7" s="157"/>
      <c r="AV7" s="3"/>
      <c r="AW7" s="3"/>
      <c r="AX7" s="3"/>
      <c r="AY7" s="3"/>
      <c r="AZ7" s="3"/>
      <c r="BA7" s="3"/>
      <c r="BB7" s="3"/>
      <c r="BC7" s="3" t="str">
        <f t="array" ref="BC7">if(and(strMod&lt;&gt;"-",dexMod&lt;&gt;"-"),if($AQ7&lt;&gt;"",if($AW7&lt;&gt;"-",$AW7,0)
+if(isnumber(find(lower($AZ7),"strdexconintwischa")),if(indirect(lower($AZ7)&amp;"Mod")&lt;&gt;"-",indirect(lower($AZ7)&amp;"Mod"),0),
if(or(isnumber(find("finesse",lower($BA7))),and($AV7&lt;&gt;"〇",MonkLevel&lt;&gt;"",MonkLevel&gt;0)),max(strMod,dexMod),if(lower($AU7)="ranged",dexMod,strMod))),""),"-")</f>
        <v>-</v>
      </c>
    </row>
    <row r="8" ht="15.75" customHeight="1">
      <c r="B8" s="151"/>
      <c r="C8" s="152"/>
      <c r="D8" s="152"/>
      <c r="E8" s="152"/>
      <c r="F8" s="152"/>
      <c r="G8" s="152"/>
      <c r="H8" s="307" t="str">
        <f t="shared" si="1"/>
        <v/>
      </c>
      <c r="I8" s="154" t="str">
        <f>IFERROR(__xludf.DUMMYFUNCTION("if(and(proficiencyBonus,$AQ8&lt;&gt;"""",$BC8&lt;&gt;""-""),
        if(or(
              isnumber(find(""unarmed"",lower($AT8))),
              isnumber(find(""natural"",lower($AT8))),
              isnumber(find(""spell"",lower($AT8))),
              and(isnumber(f"&amp;"ind(""improvised"",lower($AQ8))),isnumber(find(""brawler"",feats))),
              isnumber(find(lower($AT8),lower(weaponProficiencies))),
              not(isna(filter(arrayformula(trim(split(lower(weaponProficiencies),"",""))),isnumber(find(arrayformula"&amp;"(trim(split(lower(weaponProficiencies),"",""))),lower($AQ8))))))
           ),
           proficiencyBonus,
           0
        )
        +if(lower($AU8)=""ranged"",archery+closeQuarters,0)
        +if(isnumber(find(""spell"",lower($AT8))),v2.1!$AR$91,0)"&amp;"
        +$BC8,
        ""-""
    )"),"-")</f>
        <v>-</v>
      </c>
      <c r="J8" s="152"/>
      <c r="K8" s="152"/>
      <c r="L8" s="307" t="str">
        <f t="shared" si="2"/>
        <v/>
      </c>
      <c r="M8" s="155" t="str">
        <f>IFERROR(__xludf.DUMMYFUNCTION("substitute(if(and($AQ8&lt;&gt;"""",proficiencyBonus&lt;&gt;""""),
 $AR8&amp;if(and(""melee""=lower($AU8),lower($AT8)&lt;&gt;""unarmed"",isnumber(find(""two-handed"",lower($R8&amp;$BA8)))),greatWeaponFighting,"""")
&amp;if($AR8&lt;&gt;0,""+""
&amp;if($BB8&lt;&gt;""〇"",$BC8,if($AW8&lt;&gt;""-"",$AW8,0))
+int"&amp;"(iferror(regexextract(regexextract(Additional!$AR$79,""proficiency with[a-z ]+""&amp;lower(array_constrain(filter('Attack Info'!$B$7:$B81,'Attack Info'!$B$7:$B81&lt;&gt;"""",isnumber(find(lower('Attack Info'!$B$7:$B81),lower($AQ8)))),1,1))&amp;""[a-z, ]+\+[0-9]+ bonus "&amp;"to damage[a-z ]+with such weapons""),""[0-9]+?""),0))
+int(iferror(regexextract(regexextract(Additional!$AR$79,""\+[0-9] bonus to damage[a-z ]+""&amp;lower(array_constrain(filter('Attack Info'!$B$7:$B81,'Attack Info'!$B$7:$B81&lt;&gt;"""",isnumber(find(lower('Attac"&amp;"k Info'!$B$7:$B81),lower($AQ8)))),1,1))),""[0-9]+?""),0))
+if(and(isnumber(find(""melee"",lower($AU8))),iserror(find(""unarmed"",lower($AT8))),iserror(find(""natural"",lower($AT8))),iserror(find(""two-handed"",lower($R8&amp;$BA8)))),dueling,0)
+if(isnumber(fi"&amp;"nd(""thrown"",lower($BA8))),thrown,0)
&amp;""[""&amp;$AS8&amp;""]"","""")
&amp;if(and(PaladinLevel&gt;=11,isnumber(find(""melee"",lower($AU8))),isnumber(find(lower($AT8),""simplemartial""))),""+1d8[radiant]"","""")
&amp;if($AX8&lt;&gt;""-"",""+""&amp;$AX8&amp;""[""&amp;$AY8&amp;""]"","""")
&amp;if(and(i"&amp;"snumber(find(""pact"",lower($AQ8))),isnumber(find(""lifedrinker"",lower(invocations)))),""+""&amp;chaMod&amp;""[necrotic]"","""")
&amp;""|***""&amp;textjoin("" "",True,if(and($AT8&lt;&gt;""-"",$AT8&lt;&gt;""Spell""),$AT8,""""),if($AU8&lt;&gt;""-"",$AU8,""""),if($AT8=""Spell"",$AT8,if(and("&amp;"$AT8&lt;&gt;""Unarmed"",$AT8&lt;&gt;""Natural""),""Weapon"","""")))&amp;"" Attack.***""
&amp;if($BA8&lt;&gt;""-"",""
""&amp;$BA8,"""")
&amp;if(and(isnumber(find(""melee"",lower($AU8))),iserror(find(""unarmed"",lower($AT8))),iserror(find(""natural"",lower($AT8))),iserror(find(""two-handed"&amp;""",lower($R8&amp;$AV8)))),""
""&amp;duelingText,"""")
&amp;if(and(or(lower($AT8)=""unarmed"",lower($AT8)=""natural""),unarmedFighting),""
""&amp;unarmedText,"""")
&amp;if(and(""melee""=lower($AU8),lower($AT8)&lt;&gt;""unarmed"",isnumber(find(""two-handed"",lower($R8&amp;$BA8)))),""
"""&amp;"&amp;gwfText,"""")
&amp;if(and(isnumber(find(""offhand"",lower($R8))),twoWeaponFighting),""
""&amp;twfText,"""")
&amp;if(and(lower($AU8)=""ranged"",lower($AT8)&lt;&gt;""spell""),if(archeryText&lt;&gt;"""",""
""&amp;archeryText,"""")&amp;if(closeQuartersText&lt;&gt;"""",""
""&amp;closeQuartersText,"""&amp;"""),"""")
&amp;if(isnumber(find(""thrown"",lower($BA8))),""
""&amp;thrownText,""""),""                 -""),""+0"","""")"),"                 -")</f>
        <v>                 -</v>
      </c>
      <c r="N8" s="156"/>
      <c r="O8" s="156"/>
      <c r="P8" s="156"/>
      <c r="Q8" s="156"/>
      <c r="R8" s="156"/>
      <c r="S8" s="156"/>
      <c r="T8" s="156"/>
      <c r="W8" s="151"/>
      <c r="X8" s="152"/>
      <c r="Y8" s="152"/>
      <c r="Z8" s="152"/>
      <c r="AA8" s="152"/>
      <c r="AB8" s="152"/>
      <c r="AC8" s="307" t="str">
        <f t="shared" si="3"/>
        <v/>
      </c>
      <c r="AD8" s="154" t="str">
        <f>IFERROR(__xludf.DUMMYFUNCTION("if(and(proficiencyBonus,$AQ19&lt;&gt;"""",$BC19&lt;&gt;""-""),
        if(or(
              isnumber(find(""unarmed"",lower($AT19))),
              isnumber(find(""natural"",lower($AT19))),
              isnumber(find(""spell"",lower($AT19))),
              and(isnum"&amp;"ber(find(""improvised"",lower($AQ19))),isnumber(find(""brawler"",feats))),
              isnumber(find(lower($AT19),lower(weaponProficiencies))),
              not(isna(filter(arrayformula(trim(split(lower(weaponProficiencies),"",""))),isnumber(find(array"&amp;"formula(trim(split(lower(weaponProficiencies),"",""))),lower($AQ19))))))
           ),
           proficiencyBonus,
           0
        )
        +if(lower($AU19)=""ranged"",archery+closeQuarters,0)
        +if(isnumber(find(""spell"",lower($AT19))),v2.1"&amp;"!$AR$91,0)
        +$BC19,
        ""-""
    )"),"-")</f>
        <v>-</v>
      </c>
      <c r="AE8" s="152"/>
      <c r="AF8" s="152"/>
      <c r="AG8" s="307" t="str">
        <f t="shared" si="4"/>
        <v/>
      </c>
      <c r="AH8" s="155" t="str">
        <f>IFERROR(__xludf.DUMMYFUNCTION("substitute(if(and($AQ19&lt;&gt;"""",proficiencyBonus&lt;&gt;""""),
 $AR19&amp;if(and(""melee""=lower($AU19),lower($AT19)&lt;&gt;""unarmed"",isnumber(find(""two-handed"",lower($W8&amp;$BA19)))),greatWeaponFighting,"""")
&amp;if($AR19&lt;&gt;0,""+""
&amp;if($BB19&lt;&gt;""〇"",$BC19,if($AW19&lt;&gt;""-"",$AW1"&amp;"9,0))
+int(iferror(regexextract(regexextract(Additional!$AR$79,""proficiency with[a-z ]+""&amp;lower(array_constrain(filter('Attack Info'!$B$7:$B81,'Attack Info'!$B$7:$B81&lt;&gt;"""",isnumber(find(lower('Attack Info'!$B$7:$B81),lower($AQ19)))),1,1))&amp;""[a-z, ]+\+[0"&amp;"-9]+ bonus to damage[a-z ]+with such weapons""),""[0-9]+?""),0))
+int(iferror(regexextract(regexextract(Additional!$AR$79,""\+[0-9] bonus to damage[a-z ]+""&amp;lower(array_constrain(filter('Attack Info'!$B$7:$B81,'Attack Info'!$B$7:$B81&lt;&gt;"""",isnumber(find(l"&amp;"ower('Attack Info'!$B$7:$B81),lower($AQ19)))),1,1))),""[0-9]+?""),0))
+if(and(isnumber(find(""melee"",lower($AU19))),iserror(find(""unarmed"",lower($AT19))),iserror(find(""natural"",lower($AT19))),iserror(find(""two-handed"",lower($W8&amp;$BA19)))),dueling,0)"&amp;"
+if(isnumber(find(""thrown"",lower($BA19))),thrown,0)
&amp;""[""&amp;$AS19&amp;""]"","""")
&amp;if(and(PaladinLevel&gt;=11,isnumber(find(""melee"",lower($AU19))),isnumber(find(lower($AT19),""simplemartial""))),""+1d8[radiant]"","""")
&amp;if($AX19&lt;&gt;""-"",""+""&amp;$AX19&amp;""[""&amp;$AY1"&amp;"9&amp;""]"","""")
&amp;if(and(isnumber(find(""pact"",lower($AQ19))),isnumber(find(""lifedrinker"",lower(invocations)))),""+""&amp;chaMod&amp;""[necrotic]"","""")
&amp;""|***""&amp;textjoin("" "",True,if(and($AT19&lt;&gt;""-"",$AT19&lt;&gt;""Spell""),$AT19,""""),if($AU19&lt;&gt;""-"",$AU19,""""),i"&amp;"f($AT19=""Spell"",$AT19,if(and($AT19&lt;&gt;""Unarmed"",$AT19&lt;&gt;""Natural""),""Weapon"","""")))&amp;"" Attack.***""
&amp;if($BA19&lt;&gt;""-"",""
""&amp;$BA19,"""")
&amp;if(and(isnumber(find(""melee"",lower($AU19))),iserror(find(""unarmed"",lower($AT19))),iserror(find(""natural"",low"&amp;"er($AT19))),iserror(find(""two-handed"",lower($W8&amp;$AV19)))),""
""&amp;duelingText,"""")
&amp;if(and(or(lower($AT19)=""unarmed"",lower($AT19)=""natural""),unarmedFighting),""
""&amp;unarmedText,"""")
&amp;if(and(""melee""=lower($AU19),lower($AT19)&lt;&gt;""unarmed"",isnumber(fi"&amp;"nd(""two-handed"",lower($W8&amp;$BA19)))),""
""&amp;gwfText,"""")
&amp;if(and(isnumber(find(""offhand"",lower($W8))),twoWeaponFighting),""
""&amp;twfText,"""")
&amp;if(and(lower($AU19)=""ranged"",lower($AT19)&lt;&gt;""spell""),if(archeryText&lt;&gt;"""",""
""&amp;archeryText,"""")&amp;if(closeQ"&amp;"uartersText&lt;&gt;"""",""
""&amp;closeQuartersText,""""),"""")
&amp;if(isnumber(find(""thrown"",lower($BA19))),""
""&amp;thrownText,""""),""                 -""),""+0"","""")"),"                 -")</f>
        <v>                 -</v>
      </c>
      <c r="AI8" s="156"/>
      <c r="AJ8" s="156"/>
      <c r="AK8" s="156"/>
      <c r="AL8" s="156"/>
      <c r="AM8" s="156"/>
      <c r="AN8" s="156"/>
      <c r="AO8" s="156"/>
      <c r="AQ8" s="3" t="str">
        <f>IFERROR(__xludf.DUMMYFUNCTION("iferror(array_constrain(split(textjoin(""~"",True,filter('Attack Info'!$B$7:$AN81,'Attack Info'!$B$7:$B81&lt;&gt;"""",lower('Attack Info'!$B$7:$B81)=lower(B8))),""~""),1,12),"""")"),"")</f>
        <v/>
      </c>
      <c r="AR8" s="3"/>
      <c r="AS8" s="3"/>
      <c r="AT8" s="3"/>
      <c r="AU8" s="157"/>
      <c r="AV8" s="3"/>
      <c r="AW8" s="3"/>
      <c r="AX8" s="3"/>
      <c r="AY8" s="3"/>
      <c r="AZ8" s="3"/>
      <c r="BA8" s="3"/>
      <c r="BB8" s="3"/>
      <c r="BC8" s="3" t="str">
        <f t="array" ref="BC8">if(and(strMod&lt;&gt;"-",dexMod&lt;&gt;"-"),if($AQ8&lt;&gt;"",if($AW8&lt;&gt;"-",$AW8,0)
+if(isnumber(find(lower($AZ8),"strdexconintwischa")),if(indirect(lower($AZ8)&amp;"Mod")&lt;&gt;"-",indirect(lower($AZ8)&amp;"Mod"),0),
if(or(isnumber(find("finesse",lower($BA8))),and($AV8&lt;&gt;"〇",MonkLevel&lt;&gt;"",MonkLevel&gt;0)),max(strMod,dexMod),if(lower($AU8)="ranged",dexMod,strMod))),""),"-")</f>
        <v>-</v>
      </c>
    </row>
    <row r="9" ht="15.75" customHeight="1">
      <c r="B9" s="151"/>
      <c r="C9" s="152"/>
      <c r="D9" s="152"/>
      <c r="E9" s="152"/>
      <c r="F9" s="152"/>
      <c r="G9" s="152"/>
      <c r="H9" s="307" t="str">
        <f t="shared" si="1"/>
        <v/>
      </c>
      <c r="I9" s="154" t="str">
        <f>IFERROR(__xludf.DUMMYFUNCTION("if(and(proficiencyBonus,$AQ9&lt;&gt;"""",$BC9&lt;&gt;""-""),
        if(or(
              isnumber(find(""unarmed"",lower($AT9))),
              isnumber(find(""natural"",lower($AT9))),
              isnumber(find(""spell"",lower($AT9))),
              and(isnumber(f"&amp;"ind(""improvised"",lower($AQ9))),isnumber(find(""brawler"",feats))),
              isnumber(find(lower($AT9),lower(weaponProficiencies))),
              not(isna(filter(arrayformula(trim(split(lower(weaponProficiencies),"",""))),isnumber(find(arrayformula"&amp;"(trim(split(lower(weaponProficiencies),"",""))),lower($AQ9))))))
           ),
           proficiencyBonus,
           0
        )
        +if(lower($AU9)=""ranged"",archery+closeQuarters,0)
        +if(isnumber(find(""spell"",lower($AT9))),v2.1!$AR$91,0)"&amp;"
        +$BC9,
        ""-""
    )"),"-")</f>
        <v>-</v>
      </c>
      <c r="J9" s="152"/>
      <c r="K9" s="152"/>
      <c r="L9" s="307" t="str">
        <f t="shared" si="2"/>
        <v/>
      </c>
      <c r="M9" s="155" t="str">
        <f>IFERROR(__xludf.DUMMYFUNCTION("substitute(if(and($AQ9&lt;&gt;"""",proficiencyBonus&lt;&gt;""""),
 $AR9&amp;if(and(""melee""=lower($AU9),lower($AT9)&lt;&gt;""unarmed"",isnumber(find(""two-handed"",lower($R9&amp;$BA9)))),greatWeaponFighting,"""")
&amp;if($AR9&lt;&gt;0,""+""
&amp;if($BB9&lt;&gt;""〇"",$BC9,if($AW9&lt;&gt;""-"",$AW9,0))
+int"&amp;"(iferror(regexextract(regexextract(Additional!$AR$79,""proficiency with[a-z ]+""&amp;lower(array_constrain(filter('Attack Info'!$B$7:$B81,'Attack Info'!$B$7:$B81&lt;&gt;"""",isnumber(find(lower('Attack Info'!$B$7:$B81),lower($AQ9)))),1,1))&amp;""[a-z, ]+\+[0-9]+ bonus "&amp;"to damage[a-z ]+with such weapons""),""[0-9]+?""),0))
+int(iferror(regexextract(regexextract(Additional!$AR$79,""\+[0-9] bonus to damage[a-z ]+""&amp;lower(array_constrain(filter('Attack Info'!$B$7:$B81,'Attack Info'!$B$7:$B81&lt;&gt;"""",isnumber(find(lower('Attac"&amp;"k Info'!$B$7:$B81),lower($AQ9)))),1,1))),""[0-9]+?""),0))
+if(and(isnumber(find(""melee"",lower($AU9))),iserror(find(""unarmed"",lower($AT9))),iserror(find(""natural"",lower($AT9))),iserror(find(""two-handed"",lower($R9&amp;$BA9)))),dueling,0)
+if(isnumber(fi"&amp;"nd(""thrown"",lower($BA9))),thrown,0)
&amp;""[""&amp;$AS9&amp;""]"","""")
&amp;if(and(PaladinLevel&gt;=11,isnumber(find(""melee"",lower($AU9))),isnumber(find(lower($AT9),""simplemartial""))),""+1d8[radiant]"","""")
&amp;if($AX9&lt;&gt;""-"",""+""&amp;$AX9&amp;""[""&amp;$AY9&amp;""]"","""")
&amp;if(and(i"&amp;"snumber(find(""pact"",lower($AQ9))),isnumber(find(""lifedrinker"",lower(invocations)))),""+""&amp;chaMod&amp;""[necrotic]"","""")
&amp;""|***""&amp;textjoin("" "",True,if(and($AT9&lt;&gt;""-"",$AT9&lt;&gt;""Spell""),$AT9,""""),if($AU9&lt;&gt;""-"",$AU9,""""),if($AT9=""Spell"",$AT9,if(and("&amp;"$AT9&lt;&gt;""Unarmed"",$AT9&lt;&gt;""Natural""),""Weapon"","""")))&amp;"" Attack.***""
&amp;if($BA9&lt;&gt;""-"",""
""&amp;$BA9,"""")
&amp;if(and(isnumber(find(""melee"",lower($AU9))),iserror(find(""unarmed"",lower($AT9))),iserror(find(""natural"",lower($AT9))),iserror(find(""two-handed"&amp;""",lower($R9&amp;$AV9)))),""
""&amp;duelingText,"""")
&amp;if(and(or(lower($AT9)=""unarmed"",lower($AT9)=""natural""),unarmedFighting),""
""&amp;unarmedText,"""")
&amp;if(and(""melee""=lower($AU9),lower($AT9)&lt;&gt;""unarmed"",isnumber(find(""two-handed"",lower($R9&amp;$BA9)))),""
"""&amp;"&amp;gwfText,"""")
&amp;if(and(isnumber(find(""offhand"",lower($R9))),twoWeaponFighting),""
""&amp;twfText,"""")
&amp;if(and(lower($AU9)=""ranged"",lower($AT9)&lt;&gt;""spell""),if(archeryText&lt;&gt;"""",""
""&amp;archeryText,"""")&amp;if(closeQuartersText&lt;&gt;"""",""
""&amp;closeQuartersText,"""&amp;"""),"""")
&amp;if(isnumber(find(""thrown"",lower($BA9))),""
""&amp;thrownText,""""),""                 -""),""+0"","""")"),"                 -")</f>
        <v>                 -</v>
      </c>
      <c r="N9" s="156"/>
      <c r="O9" s="156"/>
      <c r="P9" s="156"/>
      <c r="Q9" s="156"/>
      <c r="R9" s="156"/>
      <c r="S9" s="156"/>
      <c r="T9" s="156"/>
      <c r="W9" s="151"/>
      <c r="X9" s="152"/>
      <c r="Y9" s="152"/>
      <c r="Z9" s="152"/>
      <c r="AA9" s="152"/>
      <c r="AB9" s="152"/>
      <c r="AC9" s="307" t="str">
        <f t="shared" si="3"/>
        <v/>
      </c>
      <c r="AD9" s="154" t="str">
        <f>IFERROR(__xludf.DUMMYFUNCTION("if(and(proficiencyBonus,$AQ20&lt;&gt;"""",$BC20&lt;&gt;""-""),
        if(or(
              isnumber(find(""unarmed"",lower($AT20))),
              isnumber(find(""natural"",lower($AT20))),
              isnumber(find(""spell"",lower($AT20))),
              and(isnum"&amp;"ber(find(""improvised"",lower($AQ20))),isnumber(find(""brawler"",feats))),
              isnumber(find(lower($AT20),lower(weaponProficiencies))),
              not(isna(filter(arrayformula(trim(split(lower(weaponProficiencies),"",""))),isnumber(find(array"&amp;"formula(trim(split(lower(weaponProficiencies),"",""))),lower($AQ20))))))
           ),
           proficiencyBonus,
           0
        )
        +if(lower($AU20)=""ranged"",archery+closeQuarters,0)
        +if(isnumber(find(""spell"",lower($AT20))),v2.1"&amp;"!$AR$91,0)
        +$BC20,
        ""-""
    )"),"-")</f>
        <v>-</v>
      </c>
      <c r="AE9" s="152"/>
      <c r="AF9" s="152"/>
      <c r="AG9" s="307" t="str">
        <f t="shared" si="4"/>
        <v/>
      </c>
      <c r="AH9" s="155" t="str">
        <f>IFERROR(__xludf.DUMMYFUNCTION("substitute(if(and($AQ20&lt;&gt;"""",proficiencyBonus&lt;&gt;""""),
 $AR20&amp;if(and(""melee""=lower($AU20),lower($AT20)&lt;&gt;""unarmed"",isnumber(find(""two-handed"",lower($W9&amp;$BA20)))),greatWeaponFighting,"""")
&amp;if($AR20&lt;&gt;0,""+""
&amp;if($BB20&lt;&gt;""〇"",$BC20,if($AW20&lt;&gt;""-"",$AW2"&amp;"0,0))
+int(iferror(regexextract(regexextract(Additional!$AR$79,""proficiency with[a-z ]+""&amp;lower(array_constrain(filter('Attack Info'!$B$7:$B81,'Attack Info'!$B$7:$B81&lt;&gt;"""",isnumber(find(lower('Attack Info'!$B$7:$B81),lower($AQ20)))),1,1))&amp;""[a-z, ]+\+[0"&amp;"-9]+ bonus to damage[a-z ]+with such weapons""),""[0-9]+?""),0))
+int(iferror(regexextract(regexextract(Additional!$AR$79,""\+[0-9] bonus to damage[a-z ]+""&amp;lower(array_constrain(filter('Attack Info'!$B$7:$B81,'Attack Info'!$B$7:$B81&lt;&gt;"""",isnumber(find(l"&amp;"ower('Attack Info'!$B$7:$B81),lower($AQ20)))),1,1))),""[0-9]+?""),0))
+if(and(isnumber(find(""melee"",lower($AU20))),iserror(find(""unarmed"",lower($AT20))),iserror(find(""natural"",lower($AT20))),iserror(find(""two-handed"",lower($W9&amp;$BA20)))),dueling,0)"&amp;"
+if(isnumber(find(""thrown"",lower($BA20))),thrown,0)
&amp;""[""&amp;$AS20&amp;""]"","""")
&amp;if(and(PaladinLevel&gt;=11,isnumber(find(""melee"",lower($AU20))),isnumber(find(lower($AT20),""simplemartial""))),""+1d8[radiant]"","""")
&amp;if($AX20&lt;&gt;""-"",""+""&amp;$AX20&amp;""[""&amp;$AY2"&amp;"0&amp;""]"","""")
&amp;if(and(isnumber(find(""pact"",lower($AQ20))),isnumber(find(""lifedrinker"",lower(invocations)))),""+""&amp;chaMod&amp;""[necrotic]"","""")
&amp;""|***""&amp;textjoin("" "",True,if(and($AT20&lt;&gt;""-"",$AT20&lt;&gt;""Spell""),$AT20,""""),if($AU20&lt;&gt;""-"",$AU20,""""),i"&amp;"f($AT20=""Spell"",$AT20,if(and($AT20&lt;&gt;""Unarmed"",$AT20&lt;&gt;""Natural""),""Weapon"","""")))&amp;"" Attack.***""
&amp;if($BA20&lt;&gt;""-"",""
""&amp;$BA20,"""")
&amp;if(and(isnumber(find(""melee"",lower($AU20))),iserror(find(""unarmed"",lower($AT20))),iserror(find(""natural"",low"&amp;"er($AT20))),iserror(find(""two-handed"",lower($W9&amp;$AV20)))),""
""&amp;duelingText,"""")
&amp;if(and(or(lower($AT20)=""unarmed"",lower($AT20)=""natural""),unarmedFighting),""
""&amp;unarmedText,"""")
&amp;if(and(""melee""=lower($AU20),lower($AT20)&lt;&gt;""unarmed"",isnumber(fi"&amp;"nd(""two-handed"",lower($W9&amp;$BA20)))),""
""&amp;gwfText,"""")
&amp;if(and(isnumber(find(""offhand"",lower($W9))),twoWeaponFighting),""
""&amp;twfText,"""")
&amp;if(and(lower($AU20)=""ranged"",lower($AT20)&lt;&gt;""spell""),if(archeryText&lt;&gt;"""",""
""&amp;archeryText,"""")&amp;if(closeQ"&amp;"uartersText&lt;&gt;"""",""
""&amp;closeQuartersText,""""),"""")
&amp;if(isnumber(find(""thrown"",lower($BA20))),""
""&amp;thrownText,""""),""                 -""),""+0"","""")"),"                 -")</f>
        <v>                 -</v>
      </c>
      <c r="AI9" s="156"/>
      <c r="AJ9" s="156"/>
      <c r="AK9" s="156"/>
      <c r="AL9" s="156"/>
      <c r="AM9" s="156"/>
      <c r="AN9" s="156"/>
      <c r="AO9" s="156"/>
      <c r="AQ9" s="3" t="str">
        <f>IFERROR(__xludf.DUMMYFUNCTION("iferror(array_constrain(split(textjoin(""~"",True,filter('Attack Info'!$B$7:$AN81,'Attack Info'!$B$7:$B81&lt;&gt;"""",lower('Attack Info'!$B$7:$B81)=lower(B9))),""~""),1,12),"""")"),"")</f>
        <v/>
      </c>
      <c r="AR9" s="3"/>
      <c r="AS9" s="3"/>
      <c r="AT9" s="3"/>
      <c r="AU9" s="157"/>
      <c r="AV9" s="3"/>
      <c r="AW9" s="3"/>
      <c r="AX9" s="3"/>
      <c r="AY9" s="3"/>
      <c r="AZ9" s="3"/>
      <c r="BA9" s="3"/>
      <c r="BB9" s="3"/>
      <c r="BC9" s="3" t="str">
        <f t="array" ref="BC9">if(and(strMod&lt;&gt;"-",dexMod&lt;&gt;"-"),if($AQ9&lt;&gt;"",if($AW9&lt;&gt;"-",$AW9,0)
+if(isnumber(find(lower($AZ9),"strdexconintwischa")),if(indirect(lower($AZ9)&amp;"Mod")&lt;&gt;"-",indirect(lower($AZ9)&amp;"Mod"),0),
if(or(isnumber(find("finesse",lower($BA9))),and($AV9&lt;&gt;"〇",MonkLevel&lt;&gt;"",MonkLevel&gt;0)),max(strMod,dexMod),if(lower($AU9)="ranged",dexMod,strMod))),""),"-")</f>
        <v>-</v>
      </c>
    </row>
    <row r="10" ht="15.75" customHeight="1">
      <c r="B10" s="151"/>
      <c r="C10" s="152"/>
      <c r="D10" s="152"/>
      <c r="E10" s="152"/>
      <c r="F10" s="152"/>
      <c r="G10" s="152"/>
      <c r="H10" s="307" t="str">
        <f t="shared" si="1"/>
        <v/>
      </c>
      <c r="I10" s="154" t="str">
        <f>IFERROR(__xludf.DUMMYFUNCTION("if(and(proficiencyBonus,$AQ10&lt;&gt;"""",$BC10&lt;&gt;""-""),
        if(or(
              isnumber(find(""unarmed"",lower($AT10))),
              isnumber(find(""natural"",lower($AT10))),
              isnumber(find(""spell"",lower($AT10))),
              and(isnum"&amp;"ber(find(""improvised"",lower($AQ10))),isnumber(find(""brawler"",feats))),
              isnumber(find(lower($AT10),lower(weaponProficiencies))),
              not(isna(filter(arrayformula(trim(split(lower(weaponProficiencies),"",""))),isnumber(find(array"&amp;"formula(trim(split(lower(weaponProficiencies),"",""))),lower($AQ10))))))
           ),
           proficiencyBonus,
           0
        )
        +if(lower($AU10)=""ranged"",archery+closeQuarters,0)
        +if(isnumber(find(""spell"",lower($AT10))),v2.1"&amp;"!$AR$91,0)
        +$BC10,
        ""-""
    )"),"-")</f>
        <v>-</v>
      </c>
      <c r="J10" s="152"/>
      <c r="K10" s="152"/>
      <c r="L10" s="307" t="str">
        <f t="shared" si="2"/>
        <v/>
      </c>
      <c r="M10" s="155" t="str">
        <f>IFERROR(__xludf.DUMMYFUNCTION("substitute(if(and($AQ10&lt;&gt;"""",proficiencyBonus&lt;&gt;""""),
 $AR10&amp;if(and(""melee""=lower($AU10),lower($AT10)&lt;&gt;""unarmed"",isnumber(find(""two-handed"",lower($R10&amp;$BA10)))),greatWeaponFighting,"""")
&amp;if($AR10&lt;&gt;0,""+""
&amp;if($BB10&lt;&gt;""〇"",$BC10,if($AW10&lt;&gt;""-"",$AW"&amp;"10,0))
+int(iferror(regexextract(regexextract(Additional!$AR$79,""proficiency with[a-z ]+""&amp;lower(array_constrain(filter('Attack Info'!$B$7:$B81,'Attack Info'!$B$7:$B81&lt;&gt;"""",isnumber(find(lower('Attack Info'!$B$7:$B81),lower($AQ10)))),1,1))&amp;""[a-z, ]+\+["&amp;"0-9]+ bonus to damage[a-z ]+with such weapons""),""[0-9]+?""),0))
+int(iferror(regexextract(regexextract(Additional!$AR$79,""\+[0-9] bonus to damage[a-z ]+""&amp;lower(array_constrain(filter('Attack Info'!$B$7:$B81,'Attack Info'!$B$7:$B81&lt;&gt;"""",isnumber(find("&amp;"lower('Attack Info'!$B$7:$B81),lower($AQ10)))),1,1))),""[0-9]+?""),0))
+if(and(isnumber(find(""melee"",lower($AU10))),iserror(find(""unarmed"",lower($AT10))),iserror(find(""natural"",lower($AT10))),iserror(find(""two-handed"",lower($R10&amp;$BA10)))),dueling,"&amp;"0)
+if(isnumber(find(""thrown"",lower($BA10))),thrown,0)
&amp;""[""&amp;$AS10&amp;""]"","""")
&amp;if(and(PaladinLevel&gt;=11,isnumber(find(""melee"",lower($AU10))),isnumber(find(lower($AT10),""simplemartial""))),""+1d8[radiant]"","""")
&amp;if($AX10&lt;&gt;""-"",""+""&amp;$AX10&amp;""[""&amp;$A"&amp;"Y10&amp;""]"","""")
&amp;if(and(isnumber(find(""pact"",lower($AQ10))),isnumber(find(""lifedrinker"",lower(invocations)))),""+""&amp;chaMod&amp;""[necrotic]"","""")
&amp;""|***""&amp;textjoin("" "",True,if(and($AT10&lt;&gt;""-"",$AT10&lt;&gt;""Spell""),$AT10,""""),if($AU10&lt;&gt;""-"",$AU10,"""")"&amp;",if($AT10=""Spell"",$AT10,if(and($AT10&lt;&gt;""Unarmed"",$AT10&lt;&gt;""Natural""),""Weapon"","""")))&amp;"" Attack.***""
&amp;if($BA10&lt;&gt;""-"",""
""&amp;$BA10,"""")
&amp;if(and(isnumber(find(""melee"",lower($AU10))),iserror(find(""unarmed"",lower($AT10))),iserror(find(""natural"",l"&amp;"ower($AT10))),iserror(find(""two-handed"",lower($R10&amp;$AV10)))),""
""&amp;duelingText,"""")
&amp;if(and(or(lower($AT10)=""unarmed"",lower($AT10)=""natural""),unarmedFighting),""
""&amp;unarmedText,"""")
&amp;if(and(""melee""=lower($AU10),lower($AT10)&lt;&gt;""unarmed"",isnumber"&amp;"(find(""two-handed"",lower($R10&amp;$BA10)))),""
""&amp;gwfText,"""")
&amp;if(and(isnumber(find(""offhand"",lower($R10))),twoWeaponFighting),""
""&amp;twfText,"""")
&amp;if(and(lower($AU10)=""ranged"",lower($AT10)&lt;&gt;""spell""),if(archeryText&lt;&gt;"""",""
""&amp;archeryText,"""")&amp;if(c"&amp;"loseQuartersText&lt;&gt;"""",""
""&amp;closeQuartersText,""""),"""")
&amp;if(isnumber(find(""thrown"",lower($BA10))),""
""&amp;thrownText,""""),""                 -""),""+0"","""")"),"                 -")</f>
        <v>                 -</v>
      </c>
      <c r="N10" s="156"/>
      <c r="O10" s="156"/>
      <c r="P10" s="156"/>
      <c r="Q10" s="156"/>
      <c r="R10" s="156"/>
      <c r="S10" s="156"/>
      <c r="T10" s="156"/>
      <c r="W10" s="151"/>
      <c r="X10" s="152"/>
      <c r="Y10" s="152"/>
      <c r="Z10" s="152"/>
      <c r="AA10" s="152"/>
      <c r="AB10" s="152"/>
      <c r="AC10" s="307" t="str">
        <f t="shared" si="3"/>
        <v/>
      </c>
      <c r="AD10" s="154" t="str">
        <f>IFERROR(__xludf.DUMMYFUNCTION("if(and(proficiencyBonus,$AQ21&lt;&gt;"""",$BC21&lt;&gt;""-""),
        if(or(
              isnumber(find(""unarmed"",lower($AT21))),
              isnumber(find(""natural"",lower($AT21))),
              isnumber(find(""spell"",lower($AT21))),
              and(isnum"&amp;"ber(find(""improvised"",lower($AQ21))),isnumber(find(""brawler"",feats))),
              isnumber(find(lower($AT21),lower(weaponProficiencies))),
              not(isna(filter(arrayformula(trim(split(lower(weaponProficiencies),"",""))),isnumber(find(array"&amp;"formula(trim(split(lower(weaponProficiencies),"",""))),lower($AQ21))))))
           ),
           proficiencyBonus,
           0
        )
        +if(lower($AU21)=""ranged"",archery+closeQuarters,0)
        +if(isnumber(find(""spell"",lower($AT21))),v2.1"&amp;"!$AR$91,0)
        +$BC21,
        ""-""
    )"),"-")</f>
        <v>-</v>
      </c>
      <c r="AE10" s="152"/>
      <c r="AF10" s="152"/>
      <c r="AG10" s="307" t="str">
        <f t="shared" si="4"/>
        <v/>
      </c>
      <c r="AH10" s="155" t="str">
        <f>IFERROR(__xludf.DUMMYFUNCTION("substitute(if(and($AQ21&lt;&gt;"""",proficiencyBonus&lt;&gt;""""),
 $AR21&amp;if(and(""melee""=lower($AU21),lower($AT21)&lt;&gt;""unarmed"",isnumber(find(""two-handed"",lower($W10&amp;$BA21)))),greatWeaponFighting,"""")
&amp;if($AR21&lt;&gt;0,""+""
&amp;if($BB21&lt;&gt;""〇"",$BC21,if($AW21&lt;&gt;""-"",$AW"&amp;"21,0))
+int(iferror(regexextract(regexextract(Additional!$AR$79,""proficiency with[a-z ]+""&amp;lower(array_constrain(filter('Attack Info'!$B$7:$B81,'Attack Info'!$B$7:$B81&lt;&gt;"""",isnumber(find(lower('Attack Info'!$B$7:$B81),lower($AQ21)))),1,1))&amp;""[a-z, ]+\+["&amp;"0-9]+ bonus to damage[a-z ]+with such weapons""),""[0-9]+?""),0))
+int(iferror(regexextract(regexextract(Additional!$AR$79,""\+[0-9] bonus to damage[a-z ]+""&amp;lower(array_constrain(filter('Attack Info'!$B$7:$B81,'Attack Info'!$B$7:$B81&lt;&gt;"""",isnumber(find("&amp;"lower('Attack Info'!$B$7:$B81),lower($AQ21)))),1,1))),""[0-9]+?""),0))
+if(and(isnumber(find(""melee"",lower($AU21))),iserror(find(""unarmed"",lower($AT21))),iserror(find(""natural"",lower($AT21))),iserror(find(""two-handed"",lower($W10&amp;$BA21)))),dueling,"&amp;"0)
+if(isnumber(find(""thrown"",lower($BA21))),thrown,0)
&amp;""[""&amp;$AS21&amp;""]"","""")
&amp;if(and(PaladinLevel&gt;=11,isnumber(find(""melee"",lower($AU21))),isnumber(find(lower($AT21),""simplemartial""))),""+1d8[radiant]"","""")
&amp;if($AX21&lt;&gt;""-"",""+""&amp;$AX21&amp;""[""&amp;$A"&amp;"Y21&amp;""]"","""")
&amp;if(and(isnumber(find(""pact"",lower($AQ21))),isnumber(find(""lifedrinker"",lower(invocations)))),""+""&amp;chaMod&amp;""[necrotic]"","""")
&amp;""|***""&amp;textjoin("" "",True,if(and($AT21&lt;&gt;""-"",$AT21&lt;&gt;""Spell""),$AT21,""""),if($AU21&lt;&gt;""-"",$AU21,"""")"&amp;",if($AT21=""Spell"",$AT21,if(and($AT21&lt;&gt;""Unarmed"",$AT21&lt;&gt;""Natural""),""Weapon"","""")))&amp;"" Attack.***""
&amp;if($BA21&lt;&gt;""-"",""
""&amp;$BA21,"""")
&amp;if(and(isnumber(find(""melee"",lower($AU21))),iserror(find(""unarmed"",lower($AT21))),iserror(find(""natural"",l"&amp;"ower($AT21))),iserror(find(""two-handed"",lower($W10&amp;$AV21)))),""
""&amp;duelingText,"""")
&amp;if(and(or(lower($AT21)=""unarmed"",lower($AT21)=""natural""),unarmedFighting),""
""&amp;unarmedText,"""")
&amp;if(and(""melee""=lower($AU21),lower($AT21)&lt;&gt;""unarmed"",isnumber"&amp;"(find(""two-handed"",lower($W10&amp;$BA21)))),""
""&amp;gwfText,"""")
&amp;if(and(isnumber(find(""offhand"",lower($W10))),twoWeaponFighting),""
""&amp;twfText,"""")
&amp;if(and(lower($AU21)=""ranged"",lower($AT21)&lt;&gt;""spell""),if(archeryText&lt;&gt;"""",""
""&amp;archeryText,"""")&amp;if(c"&amp;"loseQuartersText&lt;&gt;"""",""
""&amp;closeQuartersText,""""),"""")
&amp;if(isnumber(find(""thrown"",lower($BA21))),""
""&amp;thrownText,""""),""                 -""),""+0"","""")"),"                 -")</f>
        <v>                 -</v>
      </c>
      <c r="AI10" s="156"/>
      <c r="AJ10" s="156"/>
      <c r="AK10" s="156"/>
      <c r="AL10" s="156"/>
      <c r="AM10" s="156"/>
      <c r="AN10" s="156"/>
      <c r="AO10" s="156"/>
      <c r="AQ10" s="3" t="str">
        <f>IFERROR(__xludf.DUMMYFUNCTION("iferror(array_constrain(split(textjoin(""~"",True,filter('Attack Info'!$B$7:$AN81,'Attack Info'!$B$7:$B81&lt;&gt;"""",lower('Attack Info'!$B$7:$B81)=lower(B10))),""~""),1,12),"""")"),"")</f>
        <v/>
      </c>
      <c r="AR10" s="3"/>
      <c r="AS10" s="3"/>
      <c r="AT10" s="3"/>
      <c r="AU10" s="157"/>
      <c r="AV10" s="3"/>
      <c r="AW10" s="3"/>
      <c r="AX10" s="3"/>
      <c r="AY10" s="3"/>
      <c r="AZ10" s="3"/>
      <c r="BA10" s="3"/>
      <c r="BB10" s="3"/>
      <c r="BC10" s="3" t="str">
        <f t="array" ref="BC10">if(and(strMod&lt;&gt;"-",dexMod&lt;&gt;"-"),if($AQ10&lt;&gt;"",if($AW10&lt;&gt;"-",$AW10,0)
+if(isnumber(find(lower($AZ10),"strdexconintwischa")),if(indirect(lower($AZ10)&amp;"Mod")&lt;&gt;"-",indirect(lower($AZ10)&amp;"Mod"),0),
if(or(isnumber(find("finesse",lower($BA10))),and($AV10&lt;&gt;"〇",MonkLevel&lt;&gt;"",MonkLevel&gt;0)),max(strMod,dexMod),if(lower($AU10)="ranged",dexMod,strMod))),""),"-")</f>
        <v>-</v>
      </c>
    </row>
    <row r="11" ht="15.75" customHeight="1">
      <c r="B11" s="151"/>
      <c r="C11" s="152"/>
      <c r="D11" s="152"/>
      <c r="E11" s="152"/>
      <c r="F11" s="152"/>
      <c r="G11" s="152"/>
      <c r="H11" s="307" t="str">
        <f t="shared" si="1"/>
        <v/>
      </c>
      <c r="I11" s="154" t="str">
        <f>IFERROR(__xludf.DUMMYFUNCTION("if(and(proficiencyBonus,$AQ11&lt;&gt;"""",$BC11&lt;&gt;""-""),
        if(or(
              isnumber(find(""unarmed"",lower($AT11))),
              isnumber(find(""natural"",lower($AT11))),
              isnumber(find(""spell"",lower($AT11))),
              and(isnum"&amp;"ber(find(""improvised"",lower($AQ11))),isnumber(find(""brawler"",feats))),
              isnumber(find(lower($AT11),lower(weaponProficiencies))),
              not(isna(filter(arrayformula(trim(split(lower(weaponProficiencies),"",""))),isnumber(find(array"&amp;"formula(trim(split(lower(weaponProficiencies),"",""))),lower($AQ11))))))
           ),
           proficiencyBonus,
           0
        )
        +if(lower($AU11)=""ranged"",archery+closeQuarters,0)
        +if(isnumber(find(""spell"",lower($AT11))),v2.1"&amp;"!$AR$91,0)
        +$BC11,
        ""-""
    )"),"-")</f>
        <v>-</v>
      </c>
      <c r="J11" s="152"/>
      <c r="K11" s="152"/>
      <c r="L11" s="307" t="str">
        <f t="shared" si="2"/>
        <v/>
      </c>
      <c r="M11" s="155" t="str">
        <f>IFERROR(__xludf.DUMMYFUNCTION("substitute(if(and($AQ11&lt;&gt;"""",proficiencyBonus&lt;&gt;""""),
 $AR11&amp;if(and(""melee""=lower($AU11),lower($AT11)&lt;&gt;""unarmed"",isnumber(find(""two-handed"",lower($R11&amp;$BA11)))),greatWeaponFighting,"""")
&amp;if($AR11&lt;&gt;0,""+""
&amp;if($BB11&lt;&gt;""〇"",$BC11,if($AW11&lt;&gt;""-"",$AW"&amp;"11,0))
+int(iferror(regexextract(regexextract(Additional!$AR$79,""proficiency with[a-z ]+""&amp;lower(array_constrain(filter('Attack Info'!$B$7:$B81,'Attack Info'!$B$7:$B81&lt;&gt;"""",isnumber(find(lower('Attack Info'!$B$7:$B81),lower($AQ11)))),1,1))&amp;""[a-z, ]+\+["&amp;"0-9]+ bonus to damage[a-z ]+with such weapons""),""[0-9]+?""),0))
+int(iferror(regexextract(regexextract(Additional!$AR$79,""\+[0-9] bonus to damage[a-z ]+""&amp;lower(array_constrain(filter('Attack Info'!$B$7:$B81,'Attack Info'!$B$7:$B81&lt;&gt;"""",isnumber(find("&amp;"lower('Attack Info'!$B$7:$B81),lower($AQ11)))),1,1))),""[0-9]+?""),0))
+if(and(isnumber(find(""melee"",lower($AU11))),iserror(find(""unarmed"",lower($AT11))),iserror(find(""natural"",lower($AT11))),iserror(find(""two-handed"",lower($R11&amp;$BA11)))),dueling,"&amp;"0)
+if(isnumber(find(""thrown"",lower($BA11))),thrown,0)
&amp;""[""&amp;$AS11&amp;""]"","""")
&amp;if(and(PaladinLevel&gt;=11,isnumber(find(""melee"",lower($AU11))),isnumber(find(lower($AT11),""simplemartial""))),""+1d8[radiant]"","""")
&amp;if($AX11&lt;&gt;""-"",""+""&amp;$AX11&amp;""[""&amp;$A"&amp;"Y11&amp;""]"","""")
&amp;if(and(isnumber(find(""pact"",lower($AQ11))),isnumber(find(""lifedrinker"",lower(invocations)))),""+""&amp;chaMod&amp;""[necrotic]"","""")
&amp;""|***""&amp;textjoin("" "",True,if(and($AT11&lt;&gt;""-"",$AT11&lt;&gt;""Spell""),$AT11,""""),if($AU11&lt;&gt;""-"",$AU11,"""")"&amp;",if($AT11=""Spell"",$AT11,if(and($AT11&lt;&gt;""Unarmed"",$AT11&lt;&gt;""Natural""),""Weapon"","""")))&amp;"" Attack.***""
&amp;if($BA11&lt;&gt;""-"",""
""&amp;$BA11,"""")
&amp;if(and(isnumber(find(""melee"",lower($AU11))),iserror(find(""unarmed"",lower($AT11))),iserror(find(""natural"",l"&amp;"ower($AT11))),iserror(find(""two-handed"",lower($R11&amp;$AV11)))),""
""&amp;duelingText,"""")
&amp;if(and(or(lower($AT11)=""unarmed"",lower($AT11)=""natural""),unarmedFighting),""
""&amp;unarmedText,"""")
&amp;if(and(""melee""=lower($AU11),lower($AT11)&lt;&gt;""unarmed"",isnumber"&amp;"(find(""two-handed"",lower($R11&amp;$BA11)))),""
""&amp;gwfText,"""")
&amp;if(and(isnumber(find(""offhand"",lower($R11))),twoWeaponFighting),""
""&amp;twfText,"""")
&amp;if(and(lower($AU11)=""ranged"",lower($AT11)&lt;&gt;""spell""),if(archeryText&lt;&gt;"""",""
""&amp;archeryText,"""")&amp;if(c"&amp;"loseQuartersText&lt;&gt;"""",""
""&amp;closeQuartersText,""""),"""")
&amp;if(isnumber(find(""thrown"",lower($BA11))),""
""&amp;thrownText,""""),""                 -""),""+0"","""")"),"                 -")</f>
        <v>                 -</v>
      </c>
      <c r="N11" s="156"/>
      <c r="O11" s="156"/>
      <c r="P11" s="156"/>
      <c r="Q11" s="156"/>
      <c r="R11" s="156"/>
      <c r="S11" s="156"/>
      <c r="T11" s="156"/>
      <c r="W11" s="151"/>
      <c r="X11" s="152"/>
      <c r="Y11" s="152"/>
      <c r="Z11" s="152"/>
      <c r="AA11" s="152"/>
      <c r="AB11" s="152"/>
      <c r="AC11" s="307" t="str">
        <f t="shared" si="3"/>
        <v/>
      </c>
      <c r="AD11" s="154" t="str">
        <f>IFERROR(__xludf.DUMMYFUNCTION("if(and(proficiencyBonus,$AQ22&lt;&gt;"""",$BC22&lt;&gt;""-""),
        if(or(
              isnumber(find(""unarmed"",lower($AT22))),
              isnumber(find(""natural"",lower($AT22))),
              isnumber(find(""spell"",lower($AT22))),
              and(isnum"&amp;"ber(find(""improvised"",lower($AQ22))),isnumber(find(""brawler"",feats))),
              isnumber(find(lower($AT22),lower(weaponProficiencies))),
              not(isna(filter(arrayformula(trim(split(lower(weaponProficiencies),"",""))),isnumber(find(array"&amp;"formula(trim(split(lower(weaponProficiencies),"",""))),lower($AQ22))))))
           ),
           proficiencyBonus,
           0
        )
        +if(lower($AU22)=""ranged"",archery+closeQuarters,0)
        +if(isnumber(find(""spell"",lower($AT22))),v2.1"&amp;"!$AR$91,0)
        +$BC22,
        ""-""
    )"),"-")</f>
        <v>-</v>
      </c>
      <c r="AE11" s="152"/>
      <c r="AF11" s="152"/>
      <c r="AG11" s="307" t="str">
        <f t="shared" si="4"/>
        <v/>
      </c>
      <c r="AH11" s="155" t="str">
        <f>IFERROR(__xludf.DUMMYFUNCTION("substitute(if(and($AQ22&lt;&gt;"""",proficiencyBonus&lt;&gt;""""),
 $AR22&amp;if(and(""melee""=lower($AU22),lower($AT22)&lt;&gt;""unarmed"",isnumber(find(""two-handed"",lower($W11&amp;$BA22)))),greatWeaponFighting,"""")
&amp;if($AR22&lt;&gt;0,""+""
&amp;if($BB22&lt;&gt;""〇"",$BC22,if($AW22&lt;&gt;""-"",$AW"&amp;"22,0))
+int(iferror(regexextract(regexextract(Additional!$AR$79,""proficiency with[a-z ]+""&amp;lower(array_constrain(filter('Attack Info'!$B$7:$B81,'Attack Info'!$B$7:$B81&lt;&gt;"""",isnumber(find(lower('Attack Info'!$B$7:$B81),lower($AQ22)))),1,1))&amp;""[a-z, ]+\+["&amp;"0-9]+ bonus to damage[a-z ]+with such weapons""),""[0-9]+?""),0))
+int(iferror(regexextract(regexextract(Additional!$AR$79,""\+[0-9] bonus to damage[a-z ]+""&amp;lower(array_constrain(filter('Attack Info'!$B$7:$B81,'Attack Info'!$B$7:$B81&lt;&gt;"""",isnumber(find("&amp;"lower('Attack Info'!$B$7:$B81),lower($AQ22)))),1,1))),""[0-9]+?""),0))
+if(and(isnumber(find(""melee"",lower($AU22))),iserror(find(""unarmed"",lower($AT22))),iserror(find(""natural"",lower($AT22))),iserror(find(""two-handed"",lower($W11&amp;$BA22)))),dueling,"&amp;"0)
+if(isnumber(find(""thrown"",lower($BA22))),thrown,0)
&amp;""[""&amp;$AS22&amp;""]"","""")
&amp;if(and(PaladinLevel&gt;=11,isnumber(find(""melee"",lower($AU22))),isnumber(find(lower($AT22),""simplemartial""))),""+1d8[radiant]"","""")
&amp;if($AX22&lt;&gt;""-"",""+""&amp;$AX22&amp;""[""&amp;$A"&amp;"Y22&amp;""]"","""")
&amp;if(and(isnumber(find(""pact"",lower($AQ22))),isnumber(find(""lifedrinker"",lower(invocations)))),""+""&amp;chaMod&amp;""[necrotic]"","""")
&amp;""|***""&amp;textjoin("" "",True,if(and($AT22&lt;&gt;""-"",$AT22&lt;&gt;""Spell""),$AT22,""""),if($AU22&lt;&gt;""-"",$AU22,"""")"&amp;",if($AT22=""Spell"",$AT22,if(and($AT22&lt;&gt;""Unarmed"",$AT22&lt;&gt;""Natural""),""Weapon"","""")))&amp;"" Attack.***""
&amp;if($BA22&lt;&gt;""-"",""
""&amp;$BA22,"""")
&amp;if(and(isnumber(find(""melee"",lower($AU22))),iserror(find(""unarmed"",lower($AT22))),iserror(find(""natural"",l"&amp;"ower($AT22))),iserror(find(""two-handed"",lower($W11&amp;$AV22)))),""
""&amp;duelingText,"""")
&amp;if(and(or(lower($AT22)=""unarmed"",lower($AT22)=""natural""),unarmedFighting),""
""&amp;unarmedText,"""")
&amp;if(and(""melee""=lower($AU22),lower($AT22)&lt;&gt;""unarmed"",isnumber"&amp;"(find(""two-handed"",lower($W11&amp;$BA22)))),""
""&amp;gwfText,"""")
&amp;if(and(isnumber(find(""offhand"",lower($W11))),twoWeaponFighting),""
""&amp;twfText,"""")
&amp;if(and(lower($AU22)=""ranged"",lower($AT22)&lt;&gt;""spell""),if(archeryText&lt;&gt;"""",""
""&amp;archeryText,"""")&amp;if(c"&amp;"loseQuartersText&lt;&gt;"""",""
""&amp;closeQuartersText,""""),"""")
&amp;if(isnumber(find(""thrown"",lower($BA22))),""
""&amp;thrownText,""""),""                 -""),""+0"","""")"),"                 -")</f>
        <v>                 -</v>
      </c>
      <c r="AI11" s="156"/>
      <c r="AJ11" s="156"/>
      <c r="AK11" s="156"/>
      <c r="AL11" s="156"/>
      <c r="AM11" s="156"/>
      <c r="AN11" s="156"/>
      <c r="AO11" s="156"/>
      <c r="AQ11" s="3" t="str">
        <f>IFERROR(__xludf.DUMMYFUNCTION("iferror(array_constrain(split(textjoin(""~"",True,filter('Attack Info'!$B$7:$AN81,'Attack Info'!$B$7:$B81&lt;&gt;"""",lower('Attack Info'!$B$7:$B81)=lower(B11))),""~""),1,12),"""")"),"")</f>
        <v/>
      </c>
      <c r="AR11" s="3"/>
      <c r="AS11" s="3"/>
      <c r="AT11" s="3"/>
      <c r="AU11" s="157"/>
      <c r="AV11" s="3"/>
      <c r="AW11" s="3"/>
      <c r="AX11" s="3"/>
      <c r="AY11" s="3"/>
      <c r="AZ11" s="3"/>
      <c r="BA11" s="3"/>
      <c r="BB11" s="3"/>
      <c r="BC11" s="3" t="str">
        <f t="array" ref="BC11">if(and(strMod&lt;&gt;"-",dexMod&lt;&gt;"-"),if($AQ11&lt;&gt;"",if($AW11&lt;&gt;"-",$AW11,0)
+if(isnumber(find(lower($AZ11),"strdexconintwischa")),if(indirect(lower($AZ11)&amp;"Mod")&lt;&gt;"-",indirect(lower($AZ11)&amp;"Mod"),0),
if(or(isnumber(find("finesse",lower($BA11))),and($AV11&lt;&gt;"〇",MonkLevel&lt;&gt;"",MonkLevel&gt;0)),max(strMod,dexMod),if(lower($AU11)="ranged",dexMod,strMod))),""),"-")</f>
        <v>-</v>
      </c>
    </row>
    <row r="12" ht="15.75" customHeight="1">
      <c r="B12" s="151"/>
      <c r="C12" s="152"/>
      <c r="D12" s="152"/>
      <c r="E12" s="152"/>
      <c r="F12" s="152"/>
      <c r="G12" s="152"/>
      <c r="H12" s="307" t="str">
        <f t="shared" si="1"/>
        <v/>
      </c>
      <c r="I12" s="154" t="str">
        <f>IFERROR(__xludf.DUMMYFUNCTION("if(and(proficiencyBonus,$AQ12&lt;&gt;"""",$BC12&lt;&gt;""-""),
        if(or(
              isnumber(find(""unarmed"",lower($AT12))),
              isnumber(find(""natural"",lower($AT12))),
              isnumber(find(""spell"",lower($AT12))),
              and(isnum"&amp;"ber(find(""improvised"",lower($AQ12))),isnumber(find(""brawler"",feats))),
              isnumber(find(lower($AT12),lower(weaponProficiencies))),
              not(isna(filter(arrayformula(trim(split(lower(weaponProficiencies),"",""))),isnumber(find(array"&amp;"formula(trim(split(lower(weaponProficiencies),"",""))),lower($AQ12))))))
           ),
           proficiencyBonus,
           0
        )
        +if(lower($AU12)=""ranged"",archery+closeQuarters,0)
        +if(isnumber(find(""spell"",lower($AT12))),v2.1"&amp;"!$AR$91,0)
        +$BC12,
        ""-""
    )"),"-")</f>
        <v>-</v>
      </c>
      <c r="J12" s="152"/>
      <c r="K12" s="152"/>
      <c r="L12" s="307" t="str">
        <f t="shared" si="2"/>
        <v/>
      </c>
      <c r="M12" s="155" t="str">
        <f>IFERROR(__xludf.DUMMYFUNCTION("substitute(if(and($AQ12&lt;&gt;"""",proficiencyBonus&lt;&gt;""""),
 $AR12&amp;if(and(""melee""=lower($AU12),lower($AT12)&lt;&gt;""unarmed"",isnumber(find(""two-handed"",lower($R12&amp;$BA12)))),greatWeaponFighting,"""")
&amp;if($AR12&lt;&gt;0,""+""
&amp;if($BB12&lt;&gt;""〇"",$BC12,if($AW12&lt;&gt;""-"",$AW"&amp;"12,0))
+int(iferror(regexextract(regexextract(Additional!$AR$79,""proficiency with[a-z ]+""&amp;lower(array_constrain(filter('Attack Info'!$B$7:$B81,'Attack Info'!$B$7:$B81&lt;&gt;"""",isnumber(find(lower('Attack Info'!$B$7:$B81),lower($AQ12)))),1,1))&amp;""[a-z, ]+\+["&amp;"0-9]+ bonus to damage[a-z ]+with such weapons""),""[0-9]+?""),0))
+int(iferror(regexextract(regexextract(Additional!$AR$79,""\+[0-9] bonus to damage[a-z ]+""&amp;lower(array_constrain(filter('Attack Info'!$B$7:$B81,'Attack Info'!$B$7:$B81&lt;&gt;"""",isnumber(find("&amp;"lower('Attack Info'!$B$7:$B81),lower($AQ12)))),1,1))),""[0-9]+?""),0))
+if(and(isnumber(find(""melee"",lower($AU12))),iserror(find(""unarmed"",lower($AT12))),iserror(find(""natural"",lower($AT12))),iserror(find(""two-handed"",lower($R12&amp;$BA12)))),dueling,"&amp;"0)
+if(isnumber(find(""thrown"",lower($BA12))),thrown,0)
&amp;""[""&amp;$AS12&amp;""]"","""")
&amp;if(and(PaladinLevel&gt;=11,isnumber(find(""melee"",lower($AU12))),isnumber(find(lower($AT12),""simplemartial""))),""+1d8[radiant]"","""")
&amp;if($AX12&lt;&gt;""-"",""+""&amp;$AX12&amp;""[""&amp;$A"&amp;"Y12&amp;""]"","""")
&amp;if(and(isnumber(find(""pact"",lower($AQ12))),isnumber(find(""lifedrinker"",lower(invocations)))),""+""&amp;chaMod&amp;""[necrotic]"","""")
&amp;""|***""&amp;textjoin("" "",True,if(and($AT12&lt;&gt;""-"",$AT12&lt;&gt;""Spell""),$AT12,""""),if($AU12&lt;&gt;""-"",$AU12,"""")"&amp;",if($AT12=""Spell"",$AT12,if(and($AT12&lt;&gt;""Unarmed"",$AT12&lt;&gt;""Natural""),""Weapon"","""")))&amp;"" Attack.***""
&amp;if($BA12&lt;&gt;""-"",""
""&amp;$BA12,"""")
&amp;if(and(isnumber(find(""melee"",lower($AU12))),iserror(find(""unarmed"",lower($AT12))),iserror(find(""natural"",l"&amp;"ower($AT12))),iserror(find(""two-handed"",lower($R12&amp;$AV12)))),""
""&amp;duelingText,"""")
&amp;if(and(or(lower($AT12)=""unarmed"",lower($AT12)=""natural""),unarmedFighting),""
""&amp;unarmedText,"""")
&amp;if(and(""melee""=lower($AU12),lower($AT12)&lt;&gt;""unarmed"",isnumber"&amp;"(find(""two-handed"",lower($R12&amp;$BA12)))),""
""&amp;gwfText,"""")
&amp;if(and(isnumber(find(""offhand"",lower($R12))),twoWeaponFighting),""
""&amp;twfText,"""")
&amp;if(and(lower($AU12)=""ranged"",lower($AT12)&lt;&gt;""spell""),if(archeryText&lt;&gt;"""",""
""&amp;archeryText,"""")&amp;if(c"&amp;"loseQuartersText&lt;&gt;"""",""
""&amp;closeQuartersText,""""),"""")
&amp;if(isnumber(find(""thrown"",lower($BA12))),""
""&amp;thrownText,""""),""                 -""),""+0"","""")"),"                 -")</f>
        <v>                 -</v>
      </c>
      <c r="N12" s="156"/>
      <c r="O12" s="156"/>
      <c r="P12" s="156"/>
      <c r="Q12" s="156"/>
      <c r="R12" s="156"/>
      <c r="S12" s="156"/>
      <c r="T12" s="156"/>
      <c r="W12" s="151"/>
      <c r="X12" s="152"/>
      <c r="Y12" s="152"/>
      <c r="Z12" s="152"/>
      <c r="AA12" s="152"/>
      <c r="AB12" s="152"/>
      <c r="AC12" s="307" t="str">
        <f t="shared" si="3"/>
        <v/>
      </c>
      <c r="AD12" s="154" t="str">
        <f>IFERROR(__xludf.DUMMYFUNCTION("if(and(proficiencyBonus,$AQ23&lt;&gt;"""",$BC23&lt;&gt;""-""),
        if(or(
              isnumber(find(""unarmed"",lower($AT23))),
              isnumber(find(""natural"",lower($AT23))),
              isnumber(find(""spell"",lower($AT23))),
              and(isnum"&amp;"ber(find(""improvised"",lower($AQ23))),isnumber(find(""brawler"",feats))),
              isnumber(find(lower($AT23),lower(weaponProficiencies))),
              not(isna(filter(arrayformula(trim(split(lower(weaponProficiencies),"",""))),isnumber(find(array"&amp;"formula(trim(split(lower(weaponProficiencies),"",""))),lower($AQ23))))))
           ),
           proficiencyBonus,
           0
        )
        +if(lower($AU23)=""ranged"",archery+closeQuarters,0)
        +if(isnumber(find(""spell"",lower($AT23))),v2.1"&amp;"!$AR$91,0)
        +$BC23,
        ""-""
    )"),"-")</f>
        <v>-</v>
      </c>
      <c r="AE12" s="152"/>
      <c r="AF12" s="152"/>
      <c r="AG12" s="307" t="str">
        <f t="shared" si="4"/>
        <v/>
      </c>
      <c r="AH12" s="155" t="str">
        <f>IFERROR(__xludf.DUMMYFUNCTION("substitute(if(and($AQ23&lt;&gt;"""",proficiencyBonus&lt;&gt;""""),
 $AR23&amp;if(and(""melee""=lower($AU23),lower($AT23)&lt;&gt;""unarmed"",isnumber(find(""two-handed"",lower($W12&amp;$BA23)))),greatWeaponFighting,"""")
&amp;if($AR23&lt;&gt;0,""+""
&amp;if($BB23&lt;&gt;""〇"",$BC23,if($AW23&lt;&gt;""-"",$AW"&amp;"23,0))
+int(iferror(regexextract(regexextract(Additional!$AR$79,""proficiency with[a-z ]+""&amp;lower(array_constrain(filter('Attack Info'!$B$7:$B81,'Attack Info'!$B$7:$B81&lt;&gt;"""",isnumber(find(lower('Attack Info'!$B$7:$B81),lower($AQ23)))),1,1))&amp;""[a-z, ]+\+["&amp;"0-9]+ bonus to damage[a-z ]+with such weapons""),""[0-9]+?""),0))
+int(iferror(regexextract(regexextract(Additional!$AR$79,""\+[0-9] bonus to damage[a-z ]+""&amp;lower(array_constrain(filter('Attack Info'!$B$7:$B81,'Attack Info'!$B$7:$B81&lt;&gt;"""",isnumber(find("&amp;"lower('Attack Info'!$B$7:$B81),lower($AQ23)))),1,1))),""[0-9]+?""),0))
+if(and(isnumber(find(""melee"",lower($AU23))),iserror(find(""unarmed"",lower($AT23))),iserror(find(""natural"",lower($AT23))),iserror(find(""two-handed"",lower($W12&amp;$BA23)))),dueling,"&amp;"0)
+if(isnumber(find(""thrown"",lower($BA23))),thrown,0)
&amp;""[""&amp;$AS23&amp;""]"","""")
&amp;if(and(PaladinLevel&gt;=11,isnumber(find(""melee"",lower($AU23))),isnumber(find(lower($AT23),""simplemartial""))),""+1d8[radiant]"","""")
&amp;if($AX23&lt;&gt;""-"",""+""&amp;$AX23&amp;""[""&amp;$A"&amp;"Y23&amp;""]"","""")
&amp;if(and(isnumber(find(""pact"",lower($AQ23))),isnumber(find(""lifedrinker"",lower(invocations)))),""+""&amp;chaMod&amp;""[necrotic]"","""")
&amp;""|***""&amp;textjoin("" "",True,if(and($AT23&lt;&gt;""-"",$AT23&lt;&gt;""Spell""),$AT23,""""),if($AU23&lt;&gt;""-"",$AU23,"""")"&amp;",if($AT23=""Spell"",$AT23,if(and($AT23&lt;&gt;""Unarmed"",$AT23&lt;&gt;""Natural""),""Weapon"","""")))&amp;"" Attack.***""
&amp;if($BA23&lt;&gt;""-"",""
""&amp;$BA23,"""")
&amp;if(and(isnumber(find(""melee"",lower($AU23))),iserror(find(""unarmed"",lower($AT23))),iserror(find(""natural"",l"&amp;"ower($AT23))),iserror(find(""two-handed"",lower($W12&amp;$AV23)))),""
""&amp;duelingText,"""")
&amp;if(and(or(lower($AT23)=""unarmed"",lower($AT23)=""natural""),unarmedFighting),""
""&amp;unarmedText,"""")
&amp;if(and(""melee""=lower($AU23),lower($AT23)&lt;&gt;""unarmed"",isnumber"&amp;"(find(""two-handed"",lower($W12&amp;$BA23)))),""
""&amp;gwfText,"""")
&amp;if(and(isnumber(find(""offhand"",lower($W12))),twoWeaponFighting),""
""&amp;twfText,"""")
&amp;if(and(lower($AU23)=""ranged"",lower($AT23)&lt;&gt;""spell""),if(archeryText&lt;&gt;"""",""
""&amp;archeryText,"""")&amp;if(c"&amp;"loseQuartersText&lt;&gt;"""",""
""&amp;closeQuartersText,""""),"""")
&amp;if(isnumber(find(""thrown"",lower($BA23))),""
""&amp;thrownText,""""),""                 -""),""+0"","""")"),"                 -")</f>
        <v>                 -</v>
      </c>
      <c r="AI12" s="156"/>
      <c r="AJ12" s="156"/>
      <c r="AK12" s="156"/>
      <c r="AL12" s="156"/>
      <c r="AM12" s="156"/>
      <c r="AN12" s="156"/>
      <c r="AO12" s="156"/>
      <c r="AQ12" s="3" t="str">
        <f>IFERROR(__xludf.DUMMYFUNCTION("iferror(array_constrain(split(textjoin(""~"",True,filter('Attack Info'!$B$7:$AN81,'Attack Info'!$B$7:$B81&lt;&gt;"""",lower('Attack Info'!$B$7:$B81)=lower(B12))),""~""),1,12),"""")"),"")</f>
        <v/>
      </c>
      <c r="AR12" s="3"/>
      <c r="AS12" s="3"/>
      <c r="AT12" s="3"/>
      <c r="AU12" s="157"/>
      <c r="AV12" s="3"/>
      <c r="AW12" s="3"/>
      <c r="AX12" s="3"/>
      <c r="AY12" s="3"/>
      <c r="AZ12" s="3"/>
      <c r="BA12" s="3"/>
      <c r="BB12" s="3"/>
      <c r="BC12" s="3" t="str">
        <f t="array" ref="BC12">if(and(strMod&lt;&gt;"-",dexMod&lt;&gt;"-"),if($AQ12&lt;&gt;"",if($AW12&lt;&gt;"-",$AW12,0)
+if(isnumber(find(lower($AZ12),"strdexconintwischa")),if(indirect(lower($AZ12)&amp;"Mod")&lt;&gt;"-",indirect(lower($AZ12)&amp;"Mod"),0),
if(or(isnumber(find("finesse",lower($BA12))),and($AV12&lt;&gt;"〇",MonkLevel&lt;&gt;"",MonkLevel&gt;0)),max(strMod,dexMod),if(lower($AU12)="ranged",dexMod,strMod))),""),"-")</f>
        <v>-</v>
      </c>
    </row>
    <row r="13" ht="15.75" customHeight="1">
      <c r="B13" s="151"/>
      <c r="C13" s="152"/>
      <c r="D13" s="152"/>
      <c r="E13" s="152"/>
      <c r="F13" s="152"/>
      <c r="G13" s="152"/>
      <c r="H13" s="307" t="str">
        <f t="shared" si="1"/>
        <v/>
      </c>
      <c r="I13" s="154" t="str">
        <f>IFERROR(__xludf.DUMMYFUNCTION("if(and(proficiencyBonus,$AQ13&lt;&gt;"""",$BC13&lt;&gt;""-""),
        if(or(
              isnumber(find(""unarmed"",lower($AT13))),
              isnumber(find(""natural"",lower($AT13))),
              isnumber(find(""spell"",lower($AT13))),
              and(isnum"&amp;"ber(find(""improvised"",lower($AQ13))),isnumber(find(""brawler"",feats))),
              isnumber(find(lower($AT13),lower(weaponProficiencies))),
              not(isna(filter(arrayformula(trim(split(lower(weaponProficiencies),"",""))),isnumber(find(array"&amp;"formula(trim(split(lower(weaponProficiencies),"",""))),lower($AQ13))))))
           ),
           proficiencyBonus,
           0
        )
        +if(lower($AU13)=""ranged"",archery+closeQuarters,0)
        +if(isnumber(find(""spell"",lower($AT13))),v2.1"&amp;"!$AR$91,0)
        +$BC13,
        ""-""
    )"),"-")</f>
        <v>-</v>
      </c>
      <c r="J13" s="152"/>
      <c r="K13" s="152"/>
      <c r="L13" s="307" t="str">
        <f t="shared" si="2"/>
        <v/>
      </c>
      <c r="M13" s="155" t="str">
        <f>IFERROR(__xludf.DUMMYFUNCTION("substitute(if(and($AQ13&lt;&gt;"""",proficiencyBonus&lt;&gt;""""),
 $AR13&amp;if(and(""melee""=lower($AU13),lower($AT13)&lt;&gt;""unarmed"",isnumber(find(""two-handed"",lower($R13&amp;$BA13)))),greatWeaponFighting,"""")
&amp;if($AR13&lt;&gt;0,""+""
&amp;if($BB13&lt;&gt;""〇"",$BC13,if($AW13&lt;&gt;""-"",$AW"&amp;"13,0))
+int(iferror(regexextract(regexextract(Additional!$AR$79,""proficiency with[a-z ]+""&amp;lower(array_constrain(filter('Attack Info'!$B$7:$B81,'Attack Info'!$B$7:$B81&lt;&gt;"""",isnumber(find(lower('Attack Info'!$B$7:$B81),lower($AQ13)))),1,1))&amp;""[a-z, ]+\+["&amp;"0-9]+ bonus to damage[a-z ]+with such weapons""),""[0-9]+?""),0))
+int(iferror(regexextract(regexextract(Additional!$AR$79,""\+[0-9] bonus to damage[a-z ]+""&amp;lower(array_constrain(filter('Attack Info'!$B$7:$B81,'Attack Info'!$B$7:$B81&lt;&gt;"""",isnumber(find("&amp;"lower('Attack Info'!$B$7:$B81),lower($AQ13)))),1,1))),""[0-9]+?""),0))
+if(and(isnumber(find(""melee"",lower($AU13))),iserror(find(""unarmed"",lower($AT13))),iserror(find(""natural"",lower($AT13))),iserror(find(""two-handed"",lower($R13&amp;$BA13)))),dueling,"&amp;"0)
+if(isnumber(find(""thrown"",lower($BA13))),thrown,0)
&amp;""[""&amp;$AS13&amp;""]"","""")
&amp;if(and(PaladinLevel&gt;=11,isnumber(find(""melee"",lower($AU13))),isnumber(find(lower($AT13),""simplemartial""))),""+1d8[radiant]"","""")
&amp;if($AX13&lt;&gt;""-"",""+""&amp;$AX13&amp;""[""&amp;$A"&amp;"Y13&amp;""]"","""")
&amp;if(and(isnumber(find(""pact"",lower($AQ13))),isnumber(find(""lifedrinker"",lower(invocations)))),""+""&amp;chaMod&amp;""[necrotic]"","""")
&amp;""|***""&amp;textjoin("" "",True,if(and($AT13&lt;&gt;""-"",$AT13&lt;&gt;""Spell""),$AT13,""""),if($AU13&lt;&gt;""-"",$AU13,"""")"&amp;",if($AT13=""Spell"",$AT13,if(and($AT13&lt;&gt;""Unarmed"",$AT13&lt;&gt;""Natural""),""Weapon"","""")))&amp;"" Attack.***""
&amp;if($BA13&lt;&gt;""-"",""
""&amp;$BA13,"""")
&amp;if(and(isnumber(find(""melee"",lower($AU13))),iserror(find(""unarmed"",lower($AT13))),iserror(find(""natural"",l"&amp;"ower($AT13))),iserror(find(""two-handed"",lower($R13&amp;$AV13)))),""
""&amp;duelingText,"""")
&amp;if(and(or(lower($AT13)=""unarmed"",lower($AT13)=""natural""),unarmedFighting),""
""&amp;unarmedText,"""")
&amp;if(and(""melee""=lower($AU13),lower($AT13)&lt;&gt;""unarmed"",isnumber"&amp;"(find(""two-handed"",lower($R13&amp;$BA13)))),""
""&amp;gwfText,"""")
&amp;if(and(isnumber(find(""offhand"",lower($R13))),twoWeaponFighting),""
""&amp;twfText,"""")
&amp;if(and(lower($AU13)=""ranged"",lower($AT13)&lt;&gt;""spell""),if(archeryText&lt;&gt;"""",""
""&amp;archeryText,"""")&amp;if(c"&amp;"loseQuartersText&lt;&gt;"""",""
""&amp;closeQuartersText,""""),"""")
&amp;if(isnumber(find(""thrown"",lower($BA13))),""
""&amp;thrownText,""""),""                 -""),""+0"","""")"),"                 -")</f>
        <v>                 -</v>
      </c>
      <c r="N13" s="156"/>
      <c r="O13" s="156"/>
      <c r="P13" s="156"/>
      <c r="Q13" s="156"/>
      <c r="R13" s="156"/>
      <c r="S13" s="156"/>
      <c r="T13" s="156"/>
      <c r="W13" s="151"/>
      <c r="X13" s="152"/>
      <c r="Y13" s="152"/>
      <c r="Z13" s="152"/>
      <c r="AA13" s="152"/>
      <c r="AB13" s="152"/>
      <c r="AC13" s="307" t="str">
        <f t="shared" si="3"/>
        <v/>
      </c>
      <c r="AD13" s="154" t="str">
        <f>IFERROR(__xludf.DUMMYFUNCTION("if(and(proficiencyBonus,$AQ24&lt;&gt;"""",$BC24&lt;&gt;""-""),
        if(or(
              isnumber(find(""unarmed"",lower($AT24))),
              isnumber(find(""natural"",lower($AT24))),
              isnumber(find(""spell"",lower($AT24))),
              and(isnum"&amp;"ber(find(""improvised"",lower($AQ24))),isnumber(find(""brawler"",feats))),
              isnumber(find(lower($AT24),lower(weaponProficiencies))),
              not(isna(filter(arrayformula(trim(split(lower(weaponProficiencies),"",""))),isnumber(find(array"&amp;"formula(trim(split(lower(weaponProficiencies),"",""))),lower($AQ24))))))
           ),
           proficiencyBonus,
           0
        )
        +if(lower($AU24)=""ranged"",archery+closeQuarters,0)
        +if(isnumber(find(""spell"",lower($AT24))),v2.1"&amp;"!$AR$91,0)
        +$BC24,
        ""-""
    )"),"-")</f>
        <v>-</v>
      </c>
      <c r="AE13" s="152"/>
      <c r="AF13" s="152"/>
      <c r="AG13" s="307" t="str">
        <f t="shared" si="4"/>
        <v/>
      </c>
      <c r="AH13" s="155" t="str">
        <f>IFERROR(__xludf.DUMMYFUNCTION("substitute(if(and($AQ24&lt;&gt;"""",proficiencyBonus&lt;&gt;""""),
 $AR24&amp;if(and(""melee""=lower($AU24),lower($AT24)&lt;&gt;""unarmed"",isnumber(find(""two-handed"",lower($W13&amp;$BA24)))),greatWeaponFighting,"""")
&amp;if($AR24&lt;&gt;0,""+""
&amp;if($BB24&lt;&gt;""〇"",$BC24,if($AW24&lt;&gt;""-"",$AW"&amp;"24,0))
+int(iferror(regexextract(regexextract(Additional!$AR$79,""proficiency with[a-z ]+""&amp;lower(array_constrain(filter('Attack Info'!$B$7:$B81,'Attack Info'!$B$7:$B81&lt;&gt;"""",isnumber(find(lower('Attack Info'!$B$7:$B81),lower($AQ24)))),1,1))&amp;""[a-z, ]+\+["&amp;"0-9]+ bonus to damage[a-z ]+with such weapons""),""[0-9]+?""),0))
+int(iferror(regexextract(regexextract(Additional!$AR$79,""\+[0-9] bonus to damage[a-z ]+""&amp;lower(array_constrain(filter('Attack Info'!$B$7:$B81,'Attack Info'!$B$7:$B81&lt;&gt;"""",isnumber(find("&amp;"lower('Attack Info'!$B$7:$B81),lower($AQ24)))),1,1))),""[0-9]+?""),0))
+if(and(isnumber(find(""melee"",lower($AU24))),iserror(find(""unarmed"",lower($AT24))),iserror(find(""natural"",lower($AT24))),iserror(find(""two-handed"",lower($W13&amp;$BA24)))),dueling,"&amp;"0)
+if(isnumber(find(""thrown"",lower($BA24))),thrown,0)
&amp;""[""&amp;$AS24&amp;""]"","""")
&amp;if(and(PaladinLevel&gt;=11,isnumber(find(""melee"",lower($AU24))),isnumber(find(lower($AT24),""simplemartial""))),""+1d8[radiant]"","""")
&amp;if($AX24&lt;&gt;""-"",""+""&amp;$AX24&amp;""[""&amp;$A"&amp;"Y24&amp;""]"","""")
&amp;if(and(isnumber(find(""pact"",lower($AQ24))),isnumber(find(""lifedrinker"",lower(invocations)))),""+""&amp;chaMod&amp;""[necrotic]"","""")
&amp;""|***""&amp;textjoin("" "",True,if(and($AT24&lt;&gt;""-"",$AT24&lt;&gt;""Spell""),$AT24,""""),if($AU24&lt;&gt;""-"",$AU24,"""")"&amp;",if($AT24=""Spell"",$AT24,if(and($AT24&lt;&gt;""Unarmed"",$AT24&lt;&gt;""Natural""),""Weapon"","""")))&amp;"" Attack.***""
&amp;if($BA24&lt;&gt;""-"",""
""&amp;$BA24,"""")
&amp;if(and(isnumber(find(""melee"",lower($AU24))),iserror(find(""unarmed"",lower($AT24))),iserror(find(""natural"",l"&amp;"ower($AT24))),iserror(find(""two-handed"",lower($W13&amp;$AV24)))),""
""&amp;duelingText,"""")
&amp;if(and(or(lower($AT24)=""unarmed"",lower($AT24)=""natural""),unarmedFighting),""
""&amp;unarmedText,"""")
&amp;if(and(""melee""=lower($AU24),lower($AT24)&lt;&gt;""unarmed"",isnumber"&amp;"(find(""two-handed"",lower($W13&amp;$BA24)))),""
""&amp;gwfText,"""")
&amp;if(and(isnumber(find(""offhand"",lower($W13))),twoWeaponFighting),""
""&amp;twfText,"""")
&amp;if(and(lower($AU24)=""ranged"",lower($AT24)&lt;&gt;""spell""),if(archeryText&lt;&gt;"""",""
""&amp;archeryText,"""")&amp;if(c"&amp;"loseQuartersText&lt;&gt;"""",""
""&amp;closeQuartersText,""""),"""")
&amp;if(isnumber(find(""thrown"",lower($BA24))),""
""&amp;thrownText,""""),""                 -""),""+0"","""")"),"                 -")</f>
        <v>                 -</v>
      </c>
      <c r="AI13" s="156"/>
      <c r="AJ13" s="156"/>
      <c r="AK13" s="156"/>
      <c r="AL13" s="156"/>
      <c r="AM13" s="156"/>
      <c r="AN13" s="156"/>
      <c r="AO13" s="156"/>
      <c r="AQ13" s="3" t="str">
        <f>IFERROR(__xludf.DUMMYFUNCTION("iferror(array_constrain(split(textjoin(""~"",True,filter('Attack Info'!$B$7:$AN81,'Attack Info'!$B$7:$B81&lt;&gt;"""",lower('Attack Info'!$B$7:$B81)=lower(B13))),""~""),1,12),"""")"),"")</f>
        <v/>
      </c>
      <c r="AR13" s="3"/>
      <c r="AS13" s="3"/>
      <c r="AT13" s="3"/>
      <c r="AU13" s="157"/>
      <c r="AV13" s="3"/>
      <c r="AW13" s="3"/>
      <c r="AX13" s="3"/>
      <c r="AY13" s="3"/>
      <c r="AZ13" s="3"/>
      <c r="BA13" s="3"/>
      <c r="BB13" s="3"/>
      <c r="BC13" s="3" t="str">
        <f t="array" ref="BC13">if(and(strMod&lt;&gt;"-",dexMod&lt;&gt;"-"),if($AQ13&lt;&gt;"",if($AW13&lt;&gt;"-",$AW13,0)
+if(isnumber(find(lower($AZ13),"strdexconintwischa")),if(indirect(lower($AZ13)&amp;"Mod")&lt;&gt;"-",indirect(lower($AZ13)&amp;"Mod"),0),
if(or(isnumber(find("finesse",lower($BA13))),and($AV13&lt;&gt;"〇",MonkLevel&lt;&gt;"",MonkLevel&gt;0)),max(strMod,dexMod),if(lower($AU13)="ranged",dexMod,strMod))),""),"-")</f>
        <v>-</v>
      </c>
    </row>
    <row r="14" ht="15.75" customHeight="1">
      <c r="B14" s="308" t="str">
        <f>IFERROR(__xludf.DUMMYFUNCTION("if(counta(iferror(filter(B3:B13,AQ3:AQ13=""""))),""To add custom attacks, go to the 'Attack Info' tab and enter the details for it."",""ADDITIONAL ATTACKS"")"),"ADDITIONAL ATTACKS")</f>
        <v>ADDITIONAL ATTACKS</v>
      </c>
      <c r="C14" s="31"/>
      <c r="D14" s="31"/>
      <c r="E14" s="31"/>
      <c r="F14" s="31"/>
      <c r="G14" s="31"/>
      <c r="H14" s="31"/>
      <c r="I14" s="31"/>
      <c r="J14" s="31"/>
      <c r="K14" s="31"/>
      <c r="L14" s="31"/>
      <c r="M14" s="31"/>
      <c r="N14" s="31"/>
      <c r="O14" s="31"/>
      <c r="P14" s="31"/>
      <c r="Q14" s="31"/>
      <c r="R14" s="31"/>
      <c r="S14" s="31"/>
      <c r="T14" s="31"/>
      <c r="W14" s="308" t="str">
        <f>IFERROR(__xludf.DUMMYFUNCTION("if(counta(iferror(filter(W3:W13,AQ14:AQ24=""""))),""To add custom attacks, go to the 'Attack Info' tab and enter the details for it."",""MORE ADDITIONAL ATTACKS"")"),"MORE ADDITIONAL ATTACKS")</f>
        <v>MORE ADDITIONAL ATTACKS</v>
      </c>
      <c r="X14" s="31"/>
      <c r="Y14" s="31"/>
      <c r="Z14" s="31"/>
      <c r="AA14" s="31"/>
      <c r="AB14" s="31"/>
      <c r="AC14" s="31"/>
      <c r="AD14" s="31"/>
      <c r="AE14" s="31"/>
      <c r="AF14" s="31"/>
      <c r="AG14" s="31"/>
      <c r="AH14" s="31"/>
      <c r="AI14" s="31"/>
      <c r="AJ14" s="31"/>
      <c r="AK14" s="31"/>
      <c r="AL14" s="31"/>
      <c r="AM14" s="31"/>
      <c r="AN14" s="31"/>
      <c r="AO14" s="31"/>
      <c r="AQ14" s="3" t="str">
        <f>IFERROR(__xludf.DUMMYFUNCTION("iferror(array_constrain(split(textjoin(""~"",True,filter('Attack Info'!$B$7:$AN81,'Attack Info'!$B$7:$B81&lt;&gt;"""",lower('Attack Info'!$B$7:$B81)=lower(W3))),""~""),1,12),"""")"),"")</f>
        <v/>
      </c>
      <c r="AR14" s="3"/>
      <c r="AS14" s="3"/>
      <c r="AT14" s="3"/>
      <c r="AU14" s="3"/>
      <c r="AV14" s="3"/>
      <c r="AW14" s="3"/>
      <c r="AX14" s="3"/>
      <c r="AY14" s="3"/>
      <c r="AZ14" s="3"/>
      <c r="BA14" s="3"/>
      <c r="BB14" s="3"/>
      <c r="BC14" s="3" t="str">
        <f t="array" ref="BC14">if(and(strMod&lt;&gt;"-",dexMod&lt;&gt;"-"),if($AQ14&lt;&gt;"",if($AW14&lt;&gt;"-",$AW14,0)
+if(isnumber(find(lower($AZ14),"strdexconintwischa")),if(indirect(lower($AZ14)&amp;"Mod")&lt;&gt;"-",indirect(lower($AZ14)&amp;"Mod"),0),
if(or(isnumber(find("finesse",lower($BA14))),and($AV14&lt;&gt;"〇",MonkLevel&lt;&gt;"",MonkLevel&gt;0)),max(strMod,dexMod),if(lower($AU14)="ranged",dexMod,strMod))),""),"-")</f>
        <v>-</v>
      </c>
    </row>
    <row r="15" ht="15.75" customHeight="1">
      <c r="B15" s="12"/>
      <c r="C15" s="301"/>
      <c r="D15" s="301"/>
      <c r="E15" s="301"/>
      <c r="F15" s="301"/>
      <c r="G15" s="301"/>
      <c r="H15" s="301"/>
      <c r="I15" s="301"/>
      <c r="J15" s="301"/>
      <c r="K15" s="309"/>
      <c r="L15" s="301"/>
      <c r="M15" s="301"/>
      <c r="N15" s="301"/>
      <c r="O15" s="301"/>
      <c r="P15" s="301"/>
      <c r="Q15" s="301"/>
      <c r="R15" s="301"/>
      <c r="S15" s="301"/>
      <c r="T15" s="301"/>
      <c r="W15" s="301"/>
      <c r="X15" s="301"/>
      <c r="Y15" s="301"/>
      <c r="Z15" s="301"/>
      <c r="AA15" s="301"/>
      <c r="AB15" s="301"/>
      <c r="AC15" s="301"/>
      <c r="AD15" s="301"/>
      <c r="AE15" s="301"/>
      <c r="AF15" s="309"/>
      <c r="AG15" s="301"/>
      <c r="AH15" s="301"/>
      <c r="AI15" s="301"/>
      <c r="AJ15" s="301"/>
      <c r="AK15" s="301"/>
      <c r="AL15" s="301"/>
      <c r="AM15" s="301"/>
      <c r="AN15" s="301"/>
      <c r="AO15" s="301"/>
      <c r="AQ15" s="3" t="str">
        <f>IFERROR(__xludf.DUMMYFUNCTION("iferror(array_constrain(split(textjoin(""~"",True,filter('Attack Info'!$B$7:$AN81,'Attack Info'!$B$7:$B81&lt;&gt;"""",lower('Attack Info'!$B$7:$B81)=lower(W4))),""~""),1,12),"""")"),"")</f>
        <v/>
      </c>
      <c r="AR15" s="3"/>
      <c r="AS15" s="3"/>
      <c r="AT15" s="3"/>
      <c r="AU15" s="3"/>
      <c r="AV15" s="3"/>
      <c r="AW15" s="3"/>
      <c r="AX15" s="3"/>
      <c r="AY15" s="3"/>
      <c r="AZ15" s="3"/>
      <c r="BA15" s="3"/>
      <c r="BB15" s="3"/>
      <c r="BC15" s="3" t="str">
        <f t="array" ref="BC15">if(and(strMod&lt;&gt;"-",dexMod&lt;&gt;"-"),if($AQ15&lt;&gt;"",if($AW15&lt;&gt;"-",$AW15,0)
+if(isnumber(find(lower($AZ15),"strdexconintwischa")),if(indirect(lower($AZ15)&amp;"Mod")&lt;&gt;"-",indirect(lower($AZ15)&amp;"Mod"),0),
if(or(isnumber(find("finesse",lower($BA15))),and($AV15&lt;&gt;"〇",MonkLevel&lt;&gt;"",MonkLevel&gt;0)),max(strMod,dexMod),if(lower($AU15)="ranged",dexMod,strMod))),""),"-")</f>
        <v>-</v>
      </c>
    </row>
    <row r="16" ht="15.75" customHeight="1">
      <c r="A16" s="12"/>
      <c r="B16" s="310" t="str">
        <f>IMAGE("http://i.imgur.com/36yH7AT.png")</f>
        <v/>
      </c>
      <c r="C16" s="311" t="str">
        <f>IMAGE("http://i.imgur.com/P8G3wDB.png",2)</f>
        <v/>
      </c>
      <c r="D16" s="242"/>
      <c r="E16" s="242"/>
      <c r="F16" s="242"/>
      <c r="G16" s="242"/>
      <c r="H16" s="242"/>
      <c r="I16" s="242"/>
      <c r="J16" s="242"/>
      <c r="K16" s="242"/>
      <c r="L16" s="242"/>
      <c r="M16" s="242"/>
      <c r="N16" s="242"/>
      <c r="O16" s="242"/>
      <c r="P16" s="242"/>
      <c r="Q16" s="242"/>
      <c r="R16" s="242"/>
      <c r="S16" s="242"/>
      <c r="T16" s="242"/>
      <c r="U16" s="242"/>
      <c r="V16" s="242"/>
      <c r="W16" s="242"/>
      <c r="X16" s="242"/>
      <c r="Y16" s="242"/>
      <c r="Z16" s="242"/>
      <c r="AA16" s="242"/>
      <c r="AB16" s="242"/>
      <c r="AC16" s="242"/>
      <c r="AD16" s="242"/>
      <c r="AE16" s="242"/>
      <c r="AF16" s="242"/>
      <c r="AG16" s="242"/>
      <c r="AH16" s="242"/>
      <c r="AI16" s="242"/>
      <c r="AJ16" s="242"/>
      <c r="AK16" s="242"/>
      <c r="AL16" s="242"/>
      <c r="AM16" s="242"/>
      <c r="AN16" s="242"/>
      <c r="AO16" s="239" t="str">
        <f>IMAGE("http://i.imgur.com/koyMZqk.png")</f>
        <v/>
      </c>
      <c r="AP16" s="301"/>
      <c r="AQ16" s="3" t="str">
        <f>IFERROR(__xludf.DUMMYFUNCTION("iferror(array_constrain(split(textjoin(""~"",True,filter('Attack Info'!$B$7:$AN81,'Attack Info'!$B$7:$B81&lt;&gt;"""",lower('Attack Info'!$B$7:$B81)=lower(W5))),""~""),1,12),"""")"),"")</f>
        <v/>
      </c>
      <c r="AR16" s="3"/>
      <c r="AS16" s="3"/>
      <c r="AT16" s="3"/>
      <c r="AU16" s="3"/>
      <c r="AV16" s="3"/>
      <c r="AW16" s="3"/>
      <c r="AX16" s="3"/>
      <c r="AY16" s="3"/>
      <c r="AZ16" s="3"/>
      <c r="BA16" s="3"/>
      <c r="BB16" s="3"/>
      <c r="BC16" s="3" t="str">
        <f t="array" ref="BC16">if(and(strMod&lt;&gt;"-",dexMod&lt;&gt;"-"),if($AQ16&lt;&gt;"",if($AW16&lt;&gt;"-",$AW16,0)
+if(isnumber(find(lower($AZ16),"strdexconintwischa")),if(indirect(lower($AZ16)&amp;"Mod")&lt;&gt;"-",indirect(lower($AZ16)&amp;"Mod"),0),
if(or(isnumber(find("finesse",lower($BA16))),and($AV16&lt;&gt;"〇",MonkLevel&lt;&gt;"",MonkLevel&gt;0)),max(strMod,dexMod),if(lower($AU16)="ranged",dexMod,strMod))),""),"-")</f>
        <v>-</v>
      </c>
    </row>
    <row r="17" ht="15.75" customHeight="1">
      <c r="A17" s="12"/>
      <c r="C17" s="310" t="str">
        <f>IMAGE("http://i.imgur.com/VtJcr4w.png",2)</f>
        <v/>
      </c>
      <c r="F17" s="310"/>
      <c r="G17" s="310"/>
      <c r="H17" s="310"/>
      <c r="I17" s="310"/>
      <c r="J17" s="310"/>
      <c r="K17" s="310" t="str">
        <f>IMAGE("http://i.imgur.com/GYlWKEy.png",2)</f>
        <v/>
      </c>
      <c r="L17" s="243"/>
      <c r="M17" s="312" t="s">
        <v>137</v>
      </c>
      <c r="N17" s="313"/>
      <c r="O17" s="166"/>
      <c r="P17" s="166"/>
      <c r="Q17" s="166"/>
      <c r="R17" s="166"/>
      <c r="S17" s="166"/>
      <c r="T17" s="166"/>
      <c r="U17" s="314" t="str">
        <f>IMAGE("http://i.imgur.com/1atTEws.png",3)</f>
        <v/>
      </c>
      <c r="W17" s="312" t="s">
        <v>137</v>
      </c>
      <c r="X17" s="313"/>
      <c r="Y17" s="166"/>
      <c r="Z17" s="166"/>
      <c r="AA17" s="166"/>
      <c r="AB17" s="166"/>
      <c r="AC17" s="166"/>
      <c r="AD17" s="166"/>
      <c r="AE17" s="314" t="str">
        <f>IMAGE("http://i.imgur.com/1atTEws.png",3)</f>
        <v/>
      </c>
      <c r="AG17" s="312" t="s">
        <v>137</v>
      </c>
      <c r="AH17" s="313"/>
      <c r="AI17" s="166"/>
      <c r="AJ17" s="166"/>
      <c r="AK17" s="166"/>
      <c r="AL17" s="166"/>
      <c r="AM17" s="166"/>
      <c r="AN17" s="166"/>
      <c r="AP17" s="301"/>
      <c r="AQ17" s="3" t="str">
        <f>IFERROR(__xludf.DUMMYFUNCTION("iferror(array_constrain(split(textjoin(""~"",True,filter('Attack Info'!$B$7:$AN81,'Attack Info'!$B$7:$B81&lt;&gt;"""",lower('Attack Info'!$B$7:$B81)=lower(W6))),""~""),1,12),"""")"),"")</f>
        <v/>
      </c>
      <c r="AR17" s="3"/>
      <c r="AS17" s="3"/>
      <c r="AT17" s="3"/>
      <c r="AU17" s="3"/>
      <c r="AV17" s="3"/>
      <c r="AW17" s="3"/>
      <c r="AX17" s="3"/>
      <c r="AY17" s="3"/>
      <c r="AZ17" s="3"/>
      <c r="BA17" s="3"/>
      <c r="BB17" s="3"/>
      <c r="BC17" s="3" t="str">
        <f t="array" ref="BC17">if(and(strMod&lt;&gt;"-",dexMod&lt;&gt;"-"),if($AQ17&lt;&gt;"",if($AW17&lt;&gt;"-",$AW17,0)
+if(isnumber(find(lower($AZ17),"strdexconintwischa")),if(indirect(lower($AZ17)&amp;"Mod")&lt;&gt;"-",indirect(lower($AZ17)&amp;"Mod"),0),
if(or(isnumber(find("finesse",lower($BA17))),and($AV17&lt;&gt;"〇",MonkLevel&lt;&gt;"",MonkLevel&gt;0)),max(strMod,dexMod),if(lower($AU17)="ranged",dexMod,strMod))),""),"-")</f>
        <v>-</v>
      </c>
    </row>
    <row r="18" ht="15.75" customHeight="1">
      <c r="A18" s="12"/>
      <c r="F18" s="247" t="s">
        <v>138</v>
      </c>
      <c r="G18" s="25"/>
      <c r="H18" s="25"/>
      <c r="I18" s="25"/>
      <c r="J18" s="25"/>
      <c r="L18" s="243"/>
      <c r="M18" s="312" t="s">
        <v>137</v>
      </c>
      <c r="N18" s="313"/>
      <c r="O18" s="166"/>
      <c r="P18" s="166"/>
      <c r="Q18" s="166"/>
      <c r="R18" s="166"/>
      <c r="S18" s="166"/>
      <c r="T18" s="166"/>
      <c r="W18" s="312" t="s">
        <v>137</v>
      </c>
      <c r="X18" s="313"/>
      <c r="Y18" s="166"/>
      <c r="Z18" s="166"/>
      <c r="AA18" s="166"/>
      <c r="AB18" s="166"/>
      <c r="AC18" s="166"/>
      <c r="AD18" s="166"/>
      <c r="AG18" s="312" t="s">
        <v>137</v>
      </c>
      <c r="AH18" s="313"/>
      <c r="AI18" s="166"/>
      <c r="AJ18" s="166"/>
      <c r="AK18" s="166"/>
      <c r="AL18" s="166"/>
      <c r="AM18" s="166"/>
      <c r="AN18" s="166"/>
      <c r="AP18" s="301"/>
      <c r="AQ18" s="3" t="str">
        <f>IFERROR(__xludf.DUMMYFUNCTION("iferror(array_constrain(split(textjoin(""~"",True,filter('Attack Info'!$B$7:$AN81,'Attack Info'!$B$7:$B81&lt;&gt;"""",lower('Attack Info'!$B$7:$B81)=lower(W7))),""~""),1,12),"""")"),"")</f>
        <v/>
      </c>
      <c r="AR18" s="3"/>
      <c r="AS18" s="3"/>
      <c r="AT18" s="3"/>
      <c r="AU18" s="3"/>
      <c r="AV18" s="3"/>
      <c r="AW18" s="3"/>
      <c r="AX18" s="3"/>
      <c r="AY18" s="3"/>
      <c r="AZ18" s="3"/>
      <c r="BA18" s="3"/>
      <c r="BB18" s="3"/>
      <c r="BC18" s="3" t="str">
        <f t="array" ref="BC18">if(and(strMod&lt;&gt;"-",dexMod&lt;&gt;"-"),if($AQ18&lt;&gt;"",if($AW18&lt;&gt;"-",$AW18,0)
+if(isnumber(find(lower($AZ18),"strdexconintwischa")),if(indirect(lower($AZ18)&amp;"Mod")&lt;&gt;"-",indirect(lower($AZ18)&amp;"Mod"),0),
if(or(isnumber(find("finesse",lower($BA18))),and($AV18&lt;&gt;"〇",MonkLevel&lt;&gt;"",MonkLevel&gt;0)),max(strMod,dexMod),if(lower($AU18)="ranged",dexMod,strMod))),""),"-")</f>
        <v>-</v>
      </c>
    </row>
    <row r="19" ht="15.75" customHeight="1">
      <c r="A19" s="12"/>
      <c r="F19" s="31"/>
      <c r="G19" s="31"/>
      <c r="H19" s="31"/>
      <c r="I19" s="31"/>
      <c r="J19" s="31"/>
      <c r="L19" s="310"/>
      <c r="M19" s="312" t="s">
        <v>137</v>
      </c>
      <c r="N19" s="313"/>
      <c r="O19" s="166"/>
      <c r="P19" s="166"/>
      <c r="Q19" s="166"/>
      <c r="R19" s="166"/>
      <c r="S19" s="166"/>
      <c r="T19" s="166"/>
      <c r="W19" s="312" t="s">
        <v>137</v>
      </c>
      <c r="X19" s="313"/>
      <c r="Y19" s="166"/>
      <c r="Z19" s="166"/>
      <c r="AA19" s="166"/>
      <c r="AB19" s="166"/>
      <c r="AC19" s="166"/>
      <c r="AD19" s="166"/>
      <c r="AG19" s="312" t="s">
        <v>137</v>
      </c>
      <c r="AH19" s="313"/>
      <c r="AI19" s="166"/>
      <c r="AJ19" s="166"/>
      <c r="AK19" s="166"/>
      <c r="AL19" s="166"/>
      <c r="AM19" s="166"/>
      <c r="AN19" s="166"/>
      <c r="AP19" s="301"/>
      <c r="AQ19" s="3" t="str">
        <f>IFERROR(__xludf.DUMMYFUNCTION("iferror(array_constrain(split(textjoin(""~"",True,filter('Attack Info'!$B$7:$AN81,'Attack Info'!$B$7:$B81&lt;&gt;"""",lower('Attack Info'!$B$7:$B81)=lower(W8))),""~""),1,12),"""")"),"")</f>
        <v/>
      </c>
      <c r="AR19" s="3"/>
      <c r="AS19" s="3"/>
      <c r="AT19" s="3"/>
      <c r="AU19" s="3"/>
      <c r="AV19" s="3"/>
      <c r="AW19" s="3"/>
      <c r="AX19" s="3"/>
      <c r="AY19" s="3"/>
      <c r="AZ19" s="3"/>
      <c r="BA19" s="3"/>
      <c r="BB19" s="3"/>
      <c r="BC19" s="3" t="str">
        <f t="array" ref="BC19">if(and(strMod&lt;&gt;"-",dexMod&lt;&gt;"-"),if($AQ19&lt;&gt;"",if($AW19&lt;&gt;"-",$AW19,0)
+if(isnumber(find(lower($AZ19),"strdexconintwischa")),if(indirect(lower($AZ19)&amp;"Mod")&lt;&gt;"-",indirect(lower($AZ19)&amp;"Mod"),0),
if(or(isnumber(find("finesse",lower($BA19))),and($AV19&lt;&gt;"〇",MonkLevel&lt;&gt;"",MonkLevel&gt;0)),max(strMod,dexMod),if(lower($AU19)="ranged",dexMod,strMod))),""),"-")</f>
        <v>-</v>
      </c>
    </row>
    <row r="20" ht="15.75" customHeight="1">
      <c r="A20" s="12"/>
      <c r="C20" s="42"/>
      <c r="D20" s="42"/>
      <c r="E20" s="42"/>
      <c r="F20" s="315"/>
      <c r="G20" s="315"/>
      <c r="H20" s="315"/>
      <c r="I20" s="315"/>
      <c r="J20" s="315"/>
      <c r="K20" s="42"/>
      <c r="L20" s="249"/>
      <c r="M20" s="249"/>
      <c r="N20" s="249"/>
      <c r="O20" s="249"/>
      <c r="P20" s="249"/>
      <c r="Q20" s="249"/>
      <c r="R20" s="249"/>
      <c r="S20" s="249"/>
      <c r="T20" s="249"/>
      <c r="U20" s="249"/>
      <c r="V20" s="249"/>
      <c r="W20" s="249"/>
      <c r="X20" s="249"/>
      <c r="Y20" s="249"/>
      <c r="Z20" s="249"/>
      <c r="AA20" s="249"/>
      <c r="AB20" s="249"/>
      <c r="AC20" s="249"/>
      <c r="AD20" s="249"/>
      <c r="AE20" s="249"/>
      <c r="AF20" s="249"/>
      <c r="AG20" s="249"/>
      <c r="AH20" s="249"/>
      <c r="AI20" s="249"/>
      <c r="AJ20" s="249"/>
      <c r="AK20" s="249"/>
      <c r="AL20" s="249"/>
      <c r="AM20" s="249"/>
      <c r="AN20" s="249"/>
      <c r="AP20" s="301"/>
      <c r="AQ20" s="3" t="str">
        <f>IFERROR(__xludf.DUMMYFUNCTION("iferror(array_constrain(split(textjoin(""~"",True,filter('Attack Info'!$B$7:$AN81,'Attack Info'!$B$7:$B81&lt;&gt;"""",lower('Attack Info'!$B$7:$B81)=lower(W9))),""~""),1,12),"""")"),"")</f>
        <v/>
      </c>
      <c r="AR20" s="3"/>
      <c r="AS20" s="3"/>
      <c r="AT20" s="3"/>
      <c r="AU20" s="3"/>
      <c r="AV20" s="3"/>
      <c r="AW20" s="3"/>
      <c r="AX20" s="3"/>
      <c r="AY20" s="3"/>
      <c r="AZ20" s="3"/>
      <c r="BA20" s="3"/>
      <c r="BB20" s="3"/>
      <c r="BC20" s="3" t="str">
        <f t="array" ref="BC20">if(and(strMod&lt;&gt;"-",dexMod&lt;&gt;"-"),if($AQ20&lt;&gt;"",if($AW20&lt;&gt;"-",$AW20,0)
+if(isnumber(find(lower($AZ20),"strdexconintwischa")),if(indirect(lower($AZ20)&amp;"Mod")&lt;&gt;"-",indirect(lower($AZ20)&amp;"Mod"),0),
if(or(isnumber(find("finesse",lower($BA20))),and($AV20&lt;&gt;"〇",MonkLevel&lt;&gt;"",MonkLevel&gt;0)),max(strMod,dexMod),if(lower($AU20)="ranged",dexMod,strMod))),""),"-")</f>
        <v>-</v>
      </c>
    </row>
    <row r="21" ht="15.75" customHeight="1">
      <c r="A21" s="12"/>
      <c r="B21" s="239" t="str">
        <f>IMAGE("http://i.imgur.com/S2iZUIk.png")</f>
        <v/>
      </c>
      <c r="C21" s="128">
        <v>0.0</v>
      </c>
      <c r="D21" s="313"/>
      <c r="E21" s="166"/>
      <c r="F21" s="166"/>
      <c r="G21" s="166"/>
      <c r="H21" s="166"/>
      <c r="I21" s="166"/>
      <c r="J21" s="166"/>
      <c r="K21" s="316" t="str">
        <f>IMAGE("http://i.imgur.com/YThwbjs.png",3)</f>
        <v/>
      </c>
      <c r="M21" s="128">
        <v>0.0</v>
      </c>
      <c r="N21" s="313"/>
      <c r="O21" s="166"/>
      <c r="P21" s="166"/>
      <c r="Q21" s="166"/>
      <c r="R21" s="166"/>
      <c r="S21" s="166"/>
      <c r="T21" s="166"/>
      <c r="U21" s="316" t="str">
        <f>IMAGE("http://i.imgur.com/YThwbjs.png",3)</f>
        <v/>
      </c>
      <c r="W21" s="128">
        <v>0.0</v>
      </c>
      <c r="X21" s="313"/>
      <c r="Y21" s="166"/>
      <c r="Z21" s="166"/>
      <c r="AA21" s="166"/>
      <c r="AB21" s="166"/>
      <c r="AC21" s="166"/>
      <c r="AD21" s="166"/>
      <c r="AE21" s="239"/>
      <c r="AF21" s="239" t="str">
        <f>IMAGE("http://i.imgur.com/4gaCjL0.png",2)</f>
        <v/>
      </c>
      <c r="AG21" s="317"/>
      <c r="AI21" s="239"/>
      <c r="AJ21" s="239"/>
      <c r="AK21" s="317"/>
      <c r="AM21" s="239" t="str">
        <f>IMAGE("http://i.imgur.com/PtQGPp0.png",2)</f>
        <v/>
      </c>
      <c r="AO21" s="239" t="str">
        <f>IMAGE("http://i.imgur.com/jVB4BpP.png")</f>
        <v/>
      </c>
      <c r="AP21" s="301"/>
      <c r="AQ21" s="3" t="str">
        <f>IFERROR(__xludf.DUMMYFUNCTION("iferror(array_constrain(split(textjoin(""~"",True,filter('Attack Info'!$B$7:$AN81,'Attack Info'!$B$7:$B81&lt;&gt;"""",lower('Attack Info'!$B$7:$B81)=lower(W10))),""~""),1,12),"""")"),"")</f>
        <v/>
      </c>
      <c r="AR21" s="3"/>
      <c r="AS21" s="3"/>
      <c r="AT21" s="3"/>
      <c r="AU21" s="3"/>
      <c r="AV21" s="3"/>
      <c r="AW21" s="3"/>
      <c r="AX21" s="3"/>
      <c r="AY21" s="3"/>
      <c r="AZ21" s="3"/>
      <c r="BA21" s="3"/>
      <c r="BB21" s="3"/>
      <c r="BC21" s="3" t="str">
        <f t="array" ref="BC21">if(and(strMod&lt;&gt;"-",dexMod&lt;&gt;"-"),if($AQ21&lt;&gt;"",if($AW21&lt;&gt;"-",$AW21,0)
+if(isnumber(find(lower($AZ21),"strdexconintwischa")),if(indirect(lower($AZ21)&amp;"Mod")&lt;&gt;"-",indirect(lower($AZ21)&amp;"Mod"),0),
if(or(isnumber(find("finesse",lower($BA21))),and($AV21&lt;&gt;"〇",MonkLevel&lt;&gt;"",MonkLevel&gt;0)),max(strMod,dexMod),if(lower($AU21)="ranged",dexMod,strMod))),""),"-")</f>
        <v>-</v>
      </c>
    </row>
    <row r="22" ht="15.75" customHeight="1">
      <c r="A22" s="12"/>
      <c r="C22" s="128">
        <v>0.0</v>
      </c>
      <c r="D22" s="313"/>
      <c r="E22" s="166"/>
      <c r="F22" s="166"/>
      <c r="G22" s="166"/>
      <c r="H22" s="166"/>
      <c r="I22" s="166"/>
      <c r="J22" s="166"/>
      <c r="M22" s="128">
        <v>0.0</v>
      </c>
      <c r="N22" s="313"/>
      <c r="O22" s="166"/>
      <c r="P22" s="166"/>
      <c r="Q22" s="166"/>
      <c r="R22" s="166"/>
      <c r="S22" s="166"/>
      <c r="T22" s="166"/>
      <c r="W22" s="128">
        <v>0.0</v>
      </c>
      <c r="X22" s="313"/>
      <c r="Y22" s="166"/>
      <c r="Z22" s="166"/>
      <c r="AA22" s="166"/>
      <c r="AB22" s="166"/>
      <c r="AC22" s="166"/>
      <c r="AD22" s="166"/>
      <c r="AE22" s="239"/>
      <c r="AG22" s="247" t="s">
        <v>203</v>
      </c>
      <c r="AH22" s="25"/>
      <c r="AI22" s="25"/>
      <c r="AJ22" s="25"/>
      <c r="AK22" s="25"/>
      <c r="AL22" s="256"/>
      <c r="AP22" s="301"/>
      <c r="AQ22" s="3" t="str">
        <f>IFERROR(__xludf.DUMMYFUNCTION("iferror(array_constrain(split(textjoin(""~"",True,filter('Attack Info'!$B$7:$AN81,'Attack Info'!$B$7:$B81&lt;&gt;"""",lower('Attack Info'!$B$7:$B81)=lower(W11))),""~""),1,12),"""")"),"")</f>
        <v/>
      </c>
      <c r="AR22" s="3"/>
      <c r="AS22" s="3"/>
      <c r="AT22" s="3"/>
      <c r="AU22" s="3"/>
      <c r="AV22" s="3"/>
      <c r="AW22" s="3"/>
      <c r="AX22" s="3"/>
      <c r="AY22" s="3"/>
      <c r="AZ22" s="3"/>
      <c r="BA22" s="3"/>
      <c r="BB22" s="3"/>
      <c r="BC22" s="3" t="str">
        <f t="array" ref="BC22">if(and(strMod&lt;&gt;"-",dexMod&lt;&gt;"-"),if($AQ22&lt;&gt;"",if($AW22&lt;&gt;"-",$AW22,0)
+if(isnumber(find(lower($AZ22),"strdexconintwischa")),if(indirect(lower($AZ22)&amp;"Mod")&lt;&gt;"-",indirect(lower($AZ22)&amp;"Mod"),0),
if(or(isnumber(find("finesse",lower($BA22))),and($AV22&lt;&gt;"〇",MonkLevel&lt;&gt;"",MonkLevel&gt;0)),max(strMod,dexMod),if(lower($AU22)="ranged",dexMod,strMod))),""),"-")</f>
        <v>-</v>
      </c>
    </row>
    <row r="23" ht="15.75" customHeight="1">
      <c r="A23" s="12"/>
      <c r="C23" s="128">
        <v>0.0</v>
      </c>
      <c r="D23" s="313"/>
      <c r="E23" s="166"/>
      <c r="F23" s="166"/>
      <c r="G23" s="166"/>
      <c r="H23" s="166"/>
      <c r="I23" s="166"/>
      <c r="J23" s="166"/>
      <c r="M23" s="128">
        <v>0.0</v>
      </c>
      <c r="N23" s="313"/>
      <c r="O23" s="166"/>
      <c r="P23" s="166"/>
      <c r="Q23" s="166"/>
      <c r="R23" s="166"/>
      <c r="S23" s="166"/>
      <c r="T23" s="166"/>
      <c r="W23" s="128">
        <v>0.0</v>
      </c>
      <c r="X23" s="313"/>
      <c r="Y23" s="166"/>
      <c r="Z23" s="166"/>
      <c r="AA23" s="166"/>
      <c r="AB23" s="166"/>
      <c r="AC23" s="166"/>
      <c r="AD23" s="166"/>
      <c r="AE23" s="239"/>
      <c r="AG23" s="31"/>
      <c r="AH23" s="31"/>
      <c r="AI23" s="31"/>
      <c r="AJ23" s="31"/>
      <c r="AK23" s="31"/>
      <c r="AL23" s="318"/>
      <c r="AP23" s="301"/>
      <c r="AQ23" s="3" t="str">
        <f>IFERROR(__xludf.DUMMYFUNCTION("iferror(array_constrain(split(textjoin(""~"",True,filter('Attack Info'!$B$7:$AN81,'Attack Info'!$B$7:$B81&lt;&gt;"""",lower('Attack Info'!$B$7:$B81)=lower(W12))),""~""),1,12),"""")"),"")</f>
        <v/>
      </c>
      <c r="AR23" s="3"/>
      <c r="AS23" s="3"/>
      <c r="AT23" s="3"/>
      <c r="AU23" s="3"/>
      <c r="AV23" s="3"/>
      <c r="AW23" s="3"/>
      <c r="AX23" s="3"/>
      <c r="AY23" s="3"/>
      <c r="AZ23" s="3"/>
      <c r="BA23" s="3"/>
      <c r="BB23" s="3"/>
      <c r="BC23" s="3" t="str">
        <f t="array" ref="BC23">if(and(strMod&lt;&gt;"-",dexMod&lt;&gt;"-"),if($AQ23&lt;&gt;"",if($AW23&lt;&gt;"-",$AW23,0)
+if(isnumber(find(lower($AZ23),"strdexconintwischa")),if(indirect(lower($AZ23)&amp;"Mod")&lt;&gt;"-",indirect(lower($AZ23)&amp;"Mod"),0),
if(or(isnumber(find("finesse",lower($BA23))),and($AV23&lt;&gt;"〇",MonkLevel&lt;&gt;"",MonkLevel&gt;0)),max(strMod,dexMod),if(lower($AU23)="ranged",dexMod,strMod))),""),"-")</f>
        <v>-</v>
      </c>
    </row>
    <row r="24" ht="15.75" customHeight="1">
      <c r="A24" s="12"/>
      <c r="C24" s="128">
        <v>0.0</v>
      </c>
      <c r="D24" s="313"/>
      <c r="E24" s="166"/>
      <c r="F24" s="166"/>
      <c r="G24" s="166"/>
      <c r="H24" s="166"/>
      <c r="I24" s="166"/>
      <c r="J24" s="166"/>
      <c r="M24" s="128">
        <v>0.0</v>
      </c>
      <c r="N24" s="313"/>
      <c r="O24" s="166"/>
      <c r="P24" s="166"/>
      <c r="Q24" s="166"/>
      <c r="R24" s="166"/>
      <c r="S24" s="166"/>
      <c r="T24" s="166"/>
      <c r="W24" s="128">
        <v>0.0</v>
      </c>
      <c r="X24" s="313"/>
      <c r="Y24" s="166"/>
      <c r="Z24" s="166"/>
      <c r="AA24" s="166"/>
      <c r="AB24" s="166"/>
      <c r="AC24" s="166"/>
      <c r="AD24" s="166"/>
      <c r="AE24" s="239"/>
      <c r="AG24" s="239"/>
      <c r="AH24" s="239"/>
      <c r="AI24" s="239"/>
      <c r="AJ24" s="239"/>
      <c r="AK24" s="239"/>
      <c r="AL24" s="239"/>
      <c r="AP24" s="301"/>
      <c r="AQ24" s="3" t="str">
        <f>IFERROR(__xludf.DUMMYFUNCTION("iferror(array_constrain(split(textjoin(""~"",True,filter('Attack Info'!$B$7:$AN81,'Attack Info'!$B$7:$B81&lt;&gt;"""",lower('Attack Info'!$B$7:$B81)=lower(W13))),""~""),1,12),"""")"),"")</f>
        <v/>
      </c>
      <c r="AR24" s="3"/>
      <c r="AS24" s="3"/>
      <c r="AT24" s="3"/>
      <c r="AU24" s="3"/>
      <c r="AV24" s="3"/>
      <c r="AW24" s="3"/>
      <c r="AX24" s="3"/>
      <c r="AY24" s="3"/>
      <c r="AZ24" s="3"/>
      <c r="BA24" s="3"/>
      <c r="BB24" s="3"/>
      <c r="BC24" s="3" t="str">
        <f t="array" ref="BC24">if(and(strMod&lt;&gt;"-",dexMod&lt;&gt;"-"),if($AQ24&lt;&gt;"",if($AW24&lt;&gt;"-",$AW24,0)
+if(isnumber(find(lower($AZ24),"strdexconintwischa")),if(indirect(lower($AZ24)&amp;"Mod")&lt;&gt;"-",indirect(lower($AZ24)&amp;"Mod"),0),
if(or(isnumber(find("finesse",lower($BA24))),and($AV24&lt;&gt;"〇",MonkLevel&lt;&gt;"",MonkLevel&gt;0)),max(strMod,dexMod),if(lower($AU24)="ranged",dexMod,strMod))),""),"-")</f>
        <v>-</v>
      </c>
    </row>
    <row r="25" ht="15.75" customHeight="1">
      <c r="A25" s="12"/>
      <c r="C25" s="128">
        <v>0.0</v>
      </c>
      <c r="D25" s="313"/>
      <c r="E25" s="166"/>
      <c r="F25" s="166"/>
      <c r="G25" s="166"/>
      <c r="H25" s="166"/>
      <c r="I25" s="166"/>
      <c r="J25" s="166"/>
      <c r="M25" s="128">
        <v>0.0</v>
      </c>
      <c r="N25" s="313"/>
      <c r="O25" s="166"/>
      <c r="P25" s="166"/>
      <c r="Q25" s="166"/>
      <c r="R25" s="166"/>
      <c r="S25" s="166"/>
      <c r="T25" s="166"/>
      <c r="W25" s="128">
        <v>0.0</v>
      </c>
      <c r="X25" s="313"/>
      <c r="Y25" s="166"/>
      <c r="Z25" s="166"/>
      <c r="AA25" s="166"/>
      <c r="AB25" s="166"/>
      <c r="AC25" s="166"/>
      <c r="AD25" s="166"/>
      <c r="AE25" s="200"/>
      <c r="AF25" s="200"/>
      <c r="AG25" s="200"/>
      <c r="AH25" s="200"/>
      <c r="AI25" s="200"/>
      <c r="AJ25" s="200"/>
      <c r="AK25" s="200"/>
      <c r="AL25" s="200"/>
      <c r="AM25" s="200"/>
      <c r="AN25" s="200"/>
      <c r="AP25" s="301"/>
      <c r="AQ25" s="3"/>
      <c r="AR25" s="3"/>
      <c r="AS25" s="3"/>
      <c r="AT25" s="3"/>
      <c r="AU25" s="3"/>
      <c r="AV25" s="3"/>
      <c r="AW25" s="3"/>
      <c r="AX25" s="3"/>
      <c r="AY25" s="3"/>
      <c r="AZ25" s="3"/>
      <c r="BA25" s="3"/>
      <c r="BB25" s="3"/>
      <c r="BC25" s="3"/>
    </row>
    <row r="26" ht="15.75" customHeight="1">
      <c r="A26" s="12"/>
      <c r="C26" s="249"/>
      <c r="D26" s="249"/>
      <c r="E26" s="249"/>
      <c r="F26" s="249"/>
      <c r="G26" s="249"/>
      <c r="H26" s="249"/>
      <c r="I26" s="249"/>
      <c r="J26" s="249"/>
      <c r="K26" s="249"/>
      <c r="L26" s="249"/>
      <c r="M26" s="249"/>
      <c r="N26" s="249"/>
      <c r="O26" s="249"/>
      <c r="P26" s="249"/>
      <c r="Q26" s="249"/>
      <c r="R26" s="249"/>
      <c r="S26" s="249"/>
      <c r="T26" s="249"/>
      <c r="U26" s="249"/>
      <c r="V26" s="249"/>
      <c r="W26" s="249"/>
      <c r="X26" s="249"/>
      <c r="Y26" s="249"/>
      <c r="Z26" s="249"/>
      <c r="AA26" s="249"/>
      <c r="AB26" s="249"/>
      <c r="AC26" s="249"/>
      <c r="AD26" s="249"/>
      <c r="AE26" s="249"/>
      <c r="AF26" s="249"/>
      <c r="AG26" s="249"/>
      <c r="AH26" s="249"/>
      <c r="AI26" s="249"/>
      <c r="AJ26" s="249"/>
      <c r="AK26" s="249"/>
      <c r="AL26" s="249"/>
      <c r="AM26" s="249"/>
      <c r="AN26" s="249"/>
      <c r="AP26" s="301"/>
      <c r="AQ26" s="3"/>
      <c r="AR26" s="3"/>
      <c r="AS26" s="3"/>
      <c r="AT26" s="3"/>
      <c r="AU26" s="3"/>
      <c r="AV26" s="3"/>
      <c r="AW26" s="3"/>
      <c r="AX26" s="3"/>
      <c r="AY26" s="3"/>
      <c r="AZ26" s="3"/>
      <c r="BA26" s="3"/>
      <c r="BB26" s="3"/>
      <c r="BC26" s="3"/>
    </row>
    <row r="27" ht="15.75" customHeight="1">
      <c r="A27" s="12"/>
      <c r="B27" s="239" t="str">
        <f>IMAGE("http://i.imgur.com/S2iZUIk.png")</f>
        <v/>
      </c>
      <c r="C27" s="319" t="str">
        <f>IMAGE("http://i.imgur.com/DbudP1A.png",2)</f>
        <v/>
      </c>
      <c r="E27" s="317"/>
      <c r="G27" s="320"/>
      <c r="H27" s="320"/>
      <c r="I27" s="317"/>
      <c r="K27" s="310" t="str">
        <f>IMAGE("http://i.imgur.com/GYlWKEy.png",2)</f>
        <v/>
      </c>
      <c r="L27" s="310"/>
      <c r="M27" s="128">
        <v>0.0</v>
      </c>
      <c r="N27" s="313"/>
      <c r="O27" s="166"/>
      <c r="P27" s="166"/>
      <c r="Q27" s="166"/>
      <c r="R27" s="166"/>
      <c r="S27" s="166"/>
      <c r="T27" s="166"/>
      <c r="U27" s="316" t="str">
        <f>IMAGE("http://i.imgur.com/YThwbjs.png",3)</f>
        <v/>
      </c>
      <c r="W27" s="128">
        <v>0.0</v>
      </c>
      <c r="X27" s="313"/>
      <c r="Y27" s="166"/>
      <c r="Z27" s="166"/>
      <c r="AA27" s="166"/>
      <c r="AB27" s="166"/>
      <c r="AC27" s="166"/>
      <c r="AD27" s="166"/>
      <c r="AE27" s="316" t="str">
        <f>IMAGE("http://i.imgur.com/YThwbjs.png",3)</f>
        <v/>
      </c>
      <c r="AG27" s="128">
        <v>0.0</v>
      </c>
      <c r="AH27" s="313"/>
      <c r="AI27" s="166"/>
      <c r="AJ27" s="166"/>
      <c r="AK27" s="166"/>
      <c r="AL27" s="166"/>
      <c r="AM27" s="166"/>
      <c r="AN27" s="166"/>
      <c r="AO27" s="239" t="str">
        <f>IMAGE("http://i.imgur.com/jVB4BpP.png")</f>
        <v/>
      </c>
      <c r="AP27" s="301"/>
      <c r="AQ27" s="3"/>
      <c r="AR27" s="3"/>
      <c r="AS27" s="3"/>
      <c r="AT27" s="3"/>
      <c r="AU27" s="3"/>
      <c r="AV27" s="3"/>
      <c r="AW27" s="3"/>
      <c r="AX27" s="3"/>
      <c r="AY27" s="3"/>
      <c r="AZ27" s="3"/>
      <c r="BA27" s="3"/>
      <c r="BB27" s="3"/>
      <c r="BC27" s="3"/>
    </row>
    <row r="28" ht="15.75" customHeight="1">
      <c r="A28" s="12"/>
      <c r="E28" s="247" t="s">
        <v>204</v>
      </c>
      <c r="F28" s="25"/>
      <c r="G28" s="25"/>
      <c r="H28" s="25"/>
      <c r="I28" s="25"/>
      <c r="J28" s="321"/>
      <c r="L28" s="310"/>
      <c r="M28" s="128">
        <v>0.0</v>
      </c>
      <c r="N28" s="313"/>
      <c r="O28" s="166"/>
      <c r="P28" s="166"/>
      <c r="Q28" s="166"/>
      <c r="R28" s="166"/>
      <c r="S28" s="166"/>
      <c r="T28" s="166"/>
      <c r="W28" s="128">
        <v>0.0</v>
      </c>
      <c r="X28" s="313"/>
      <c r="Y28" s="166"/>
      <c r="Z28" s="166"/>
      <c r="AA28" s="166"/>
      <c r="AB28" s="166"/>
      <c r="AC28" s="166"/>
      <c r="AD28" s="166"/>
      <c r="AG28" s="128">
        <v>0.0</v>
      </c>
      <c r="AH28" s="313"/>
      <c r="AI28" s="166"/>
      <c r="AJ28" s="166"/>
      <c r="AK28" s="166"/>
      <c r="AL28" s="166"/>
      <c r="AM28" s="166"/>
      <c r="AN28" s="166"/>
      <c r="AP28" s="301"/>
      <c r="AQ28" s="3"/>
      <c r="AR28" s="3"/>
      <c r="AS28" s="3"/>
      <c r="AT28" s="3"/>
      <c r="AU28" s="3"/>
      <c r="AV28" s="3"/>
      <c r="AW28" s="3"/>
      <c r="AX28" s="3"/>
      <c r="AY28" s="3"/>
      <c r="AZ28" s="3"/>
      <c r="BA28" s="3"/>
      <c r="BB28" s="3"/>
      <c r="BC28" s="3"/>
    </row>
    <row r="29" ht="15.75" customHeight="1">
      <c r="A29" s="12"/>
      <c r="E29" s="31"/>
      <c r="F29" s="31"/>
      <c r="G29" s="31"/>
      <c r="H29" s="31"/>
      <c r="I29" s="31"/>
      <c r="J29" s="322"/>
      <c r="L29" s="310"/>
      <c r="M29" s="128">
        <v>0.0</v>
      </c>
      <c r="N29" s="313"/>
      <c r="O29" s="166"/>
      <c r="P29" s="166"/>
      <c r="Q29" s="166"/>
      <c r="R29" s="166"/>
      <c r="S29" s="166"/>
      <c r="T29" s="166"/>
      <c r="W29" s="128">
        <v>0.0</v>
      </c>
      <c r="X29" s="313"/>
      <c r="Y29" s="166"/>
      <c r="Z29" s="166"/>
      <c r="AA29" s="166"/>
      <c r="AB29" s="166"/>
      <c r="AC29" s="166"/>
      <c r="AD29" s="166"/>
      <c r="AG29" s="128">
        <v>0.0</v>
      </c>
      <c r="AH29" s="313"/>
      <c r="AI29" s="166"/>
      <c r="AJ29" s="166"/>
      <c r="AK29" s="166"/>
      <c r="AL29" s="166"/>
      <c r="AM29" s="166"/>
      <c r="AN29" s="166"/>
      <c r="AP29" s="301"/>
      <c r="AQ29" s="3"/>
      <c r="AR29" s="3"/>
      <c r="AS29" s="3"/>
      <c r="AT29" s="3"/>
      <c r="AU29" s="3"/>
      <c r="AV29" s="3"/>
      <c r="AW29" s="3"/>
      <c r="AX29" s="3"/>
      <c r="AY29" s="3"/>
      <c r="AZ29" s="3"/>
      <c r="BA29" s="3"/>
      <c r="BB29" s="3"/>
      <c r="BC29" s="3"/>
    </row>
    <row r="30" ht="15.75" customHeight="1">
      <c r="A30" s="301"/>
      <c r="E30" s="310"/>
      <c r="F30" s="310"/>
      <c r="G30" s="320"/>
      <c r="H30" s="320"/>
      <c r="I30" s="310"/>
      <c r="J30" s="310"/>
      <c r="L30" s="310"/>
      <c r="M30" s="128">
        <v>0.0</v>
      </c>
      <c r="N30" s="313"/>
      <c r="O30" s="166"/>
      <c r="P30" s="166"/>
      <c r="Q30" s="166"/>
      <c r="R30" s="166"/>
      <c r="S30" s="166"/>
      <c r="T30" s="166"/>
      <c r="W30" s="128">
        <v>0.0</v>
      </c>
      <c r="X30" s="313"/>
      <c r="Y30" s="166"/>
      <c r="Z30" s="166"/>
      <c r="AA30" s="166"/>
      <c r="AB30" s="166"/>
      <c r="AC30" s="166"/>
      <c r="AD30" s="166"/>
      <c r="AG30" s="128">
        <v>0.0</v>
      </c>
      <c r="AH30" s="313"/>
      <c r="AI30" s="166"/>
      <c r="AJ30" s="166"/>
      <c r="AK30" s="166"/>
      <c r="AL30" s="166"/>
      <c r="AM30" s="166"/>
      <c r="AN30" s="166"/>
      <c r="AP30" s="301"/>
      <c r="AQ30" s="3"/>
      <c r="AR30" s="3"/>
      <c r="AS30" s="3"/>
      <c r="AT30" s="3"/>
      <c r="AU30" s="3"/>
      <c r="AV30" s="3"/>
      <c r="AW30" s="3"/>
      <c r="AX30" s="3"/>
      <c r="AY30" s="3"/>
      <c r="AZ30" s="3"/>
      <c r="BA30" s="3"/>
      <c r="BB30" s="3"/>
      <c r="BC30" s="3"/>
    </row>
    <row r="31" ht="15.75" customHeight="1">
      <c r="A31" s="301"/>
      <c r="C31" s="200"/>
      <c r="D31" s="200"/>
      <c r="E31" s="200"/>
      <c r="F31" s="200"/>
      <c r="G31" s="200"/>
      <c r="H31" s="200"/>
      <c r="I31" s="200"/>
      <c r="J31" s="200"/>
      <c r="K31" s="200"/>
      <c r="L31" s="200"/>
      <c r="M31" s="128">
        <v>0.0</v>
      </c>
      <c r="N31" s="313"/>
      <c r="O31" s="166"/>
      <c r="P31" s="166"/>
      <c r="Q31" s="166"/>
      <c r="R31" s="166"/>
      <c r="S31" s="166"/>
      <c r="T31" s="166"/>
      <c r="W31" s="128">
        <v>0.0</v>
      </c>
      <c r="X31" s="313"/>
      <c r="Y31" s="166"/>
      <c r="Z31" s="166"/>
      <c r="AA31" s="166"/>
      <c r="AB31" s="166"/>
      <c r="AC31" s="166"/>
      <c r="AD31" s="166"/>
      <c r="AG31" s="128">
        <v>0.0</v>
      </c>
      <c r="AH31" s="313"/>
      <c r="AI31" s="166"/>
      <c r="AJ31" s="166"/>
      <c r="AK31" s="166"/>
      <c r="AL31" s="166"/>
      <c r="AM31" s="166"/>
      <c r="AN31" s="166"/>
      <c r="AP31" s="301"/>
      <c r="AQ31" s="3"/>
      <c r="AR31" s="3"/>
      <c r="AS31" s="3"/>
      <c r="AT31" s="3"/>
      <c r="AU31" s="3"/>
      <c r="AV31" s="3"/>
      <c r="AW31" s="3"/>
      <c r="AX31" s="3"/>
      <c r="AY31" s="3"/>
      <c r="AZ31" s="3"/>
      <c r="BA31" s="3"/>
      <c r="BB31" s="3"/>
      <c r="BC31" s="3"/>
    </row>
    <row r="32" ht="15.75" customHeight="1">
      <c r="A32" s="301"/>
      <c r="C32" s="249"/>
      <c r="D32" s="249"/>
      <c r="E32" s="249"/>
      <c r="F32" s="249"/>
      <c r="G32" s="249"/>
      <c r="H32" s="249"/>
      <c r="I32" s="249"/>
      <c r="J32" s="249"/>
      <c r="K32" s="249"/>
      <c r="L32" s="249"/>
      <c r="M32" s="249"/>
      <c r="N32" s="249"/>
      <c r="O32" s="249"/>
      <c r="P32" s="249"/>
      <c r="Q32" s="249"/>
      <c r="R32" s="249"/>
      <c r="S32" s="249"/>
      <c r="T32" s="249"/>
      <c r="U32" s="249"/>
      <c r="V32" s="249" t="str">
        <f>if(E28="","You can hide each level of spells individually by hiding the rows (on the left).","")</f>
        <v/>
      </c>
      <c r="W32" s="249"/>
      <c r="X32" s="249"/>
      <c r="Y32" s="249"/>
      <c r="Z32" s="249"/>
      <c r="AA32" s="249"/>
      <c r="AB32" s="249"/>
      <c r="AC32" s="249"/>
      <c r="AD32" s="249"/>
      <c r="AE32" s="249"/>
      <c r="AF32" s="249"/>
      <c r="AG32" s="249"/>
      <c r="AH32" s="249"/>
      <c r="AI32" s="249"/>
      <c r="AJ32" s="249"/>
      <c r="AK32" s="249"/>
      <c r="AL32" s="249"/>
      <c r="AM32" s="249"/>
      <c r="AN32" s="323"/>
      <c r="AP32" s="301"/>
      <c r="AQ32" s="3"/>
      <c r="AR32" s="3"/>
      <c r="AS32" s="3"/>
      <c r="AT32" s="3"/>
      <c r="AU32" s="3"/>
      <c r="AV32" s="3"/>
      <c r="AW32" s="3"/>
      <c r="AX32" s="3"/>
      <c r="AY32" s="3"/>
      <c r="AZ32" s="3"/>
      <c r="BA32" s="3"/>
      <c r="BB32" s="3"/>
      <c r="BC32" s="3"/>
    </row>
    <row r="33" ht="15.75" customHeight="1">
      <c r="A33" s="301"/>
      <c r="B33" s="239" t="str">
        <f>IMAGE("http://i.imgur.com/S2iZUIk.png")</f>
        <v/>
      </c>
      <c r="C33" s="128">
        <v>0.0</v>
      </c>
      <c r="D33" s="313"/>
      <c r="E33" s="166"/>
      <c r="F33" s="166"/>
      <c r="G33" s="166"/>
      <c r="H33" s="166"/>
      <c r="I33" s="166"/>
      <c r="J33" s="166"/>
      <c r="K33" s="316" t="str">
        <f>IMAGE("http://i.imgur.com/YThwbjs.png",3)</f>
        <v/>
      </c>
      <c r="M33" s="128">
        <v>0.0</v>
      </c>
      <c r="N33" s="313"/>
      <c r="O33" s="166"/>
      <c r="P33" s="166"/>
      <c r="Q33" s="166"/>
      <c r="R33" s="166"/>
      <c r="S33" s="166"/>
      <c r="T33" s="166"/>
      <c r="U33" s="316" t="str">
        <f>IMAGE("http://i.imgur.com/YThwbjs.png",3)</f>
        <v/>
      </c>
      <c r="W33" s="128">
        <v>0.0</v>
      </c>
      <c r="X33" s="313"/>
      <c r="Y33" s="166"/>
      <c r="Z33" s="166"/>
      <c r="AA33" s="166"/>
      <c r="AB33" s="166"/>
      <c r="AC33" s="166"/>
      <c r="AD33" s="166"/>
      <c r="AE33" s="239"/>
      <c r="AF33" s="239" t="str">
        <f>IMAGE("http://i.imgur.com/4gaCjL0.png",2)</f>
        <v/>
      </c>
      <c r="AG33" s="324"/>
      <c r="AH33" s="324"/>
      <c r="AI33" s="239"/>
      <c r="AJ33" s="239"/>
      <c r="AK33" s="324"/>
      <c r="AL33" s="324"/>
      <c r="AM33" s="239" t="str">
        <f>IMAGE("http://i.imgur.com/VunFGZ6.png",2)</f>
        <v/>
      </c>
      <c r="AO33" s="239" t="str">
        <f>IMAGE("http://i.imgur.com/jVB4BpP.png")</f>
        <v/>
      </c>
      <c r="AP33" s="301"/>
      <c r="AQ33" s="3"/>
      <c r="AR33" s="3"/>
      <c r="AS33" s="3"/>
      <c r="AT33" s="3"/>
      <c r="AU33" s="3"/>
      <c r="AV33" s="3"/>
      <c r="AW33" s="3"/>
      <c r="AX33" s="3"/>
      <c r="AY33" s="3"/>
      <c r="AZ33" s="3"/>
      <c r="BA33" s="3"/>
      <c r="BB33" s="3"/>
      <c r="BC33" s="3"/>
    </row>
    <row r="34" ht="15.75" customHeight="1">
      <c r="A34" s="301"/>
      <c r="C34" s="128">
        <v>0.0</v>
      </c>
      <c r="D34" s="313"/>
      <c r="E34" s="166"/>
      <c r="F34" s="166"/>
      <c r="G34" s="166"/>
      <c r="H34" s="166"/>
      <c r="I34" s="166"/>
      <c r="J34" s="166"/>
      <c r="M34" s="128">
        <v>0.0</v>
      </c>
      <c r="N34" s="313"/>
      <c r="O34" s="166"/>
      <c r="P34" s="166"/>
      <c r="Q34" s="166"/>
      <c r="R34" s="166"/>
      <c r="S34" s="166"/>
      <c r="T34" s="166"/>
      <c r="W34" s="128">
        <v>0.0</v>
      </c>
      <c r="X34" s="313"/>
      <c r="Y34" s="166"/>
      <c r="Z34" s="166"/>
      <c r="AA34" s="166"/>
      <c r="AB34" s="166"/>
      <c r="AC34" s="166"/>
      <c r="AD34" s="166"/>
      <c r="AE34" s="239"/>
      <c r="AG34" s="247" t="s">
        <v>205</v>
      </c>
      <c r="AH34" s="25"/>
      <c r="AI34" s="25"/>
      <c r="AJ34" s="25"/>
      <c r="AK34" s="25"/>
      <c r="AL34" s="256"/>
      <c r="AP34" s="301"/>
      <c r="AQ34" s="3"/>
      <c r="AR34" s="3"/>
      <c r="AS34" s="3"/>
      <c r="AT34" s="3"/>
      <c r="AU34" s="3"/>
      <c r="AV34" s="3"/>
      <c r="AW34" s="3"/>
      <c r="AX34" s="3"/>
      <c r="AY34" s="3"/>
      <c r="AZ34" s="3"/>
      <c r="BA34" s="3"/>
      <c r="BB34" s="3"/>
      <c r="BC34" s="3"/>
    </row>
    <row r="35" ht="15.75" customHeight="1">
      <c r="A35" s="301"/>
      <c r="C35" s="128">
        <v>0.0</v>
      </c>
      <c r="D35" s="313"/>
      <c r="E35" s="166"/>
      <c r="F35" s="166"/>
      <c r="G35" s="166"/>
      <c r="H35" s="166"/>
      <c r="I35" s="166"/>
      <c r="J35" s="166"/>
      <c r="M35" s="128">
        <v>0.0</v>
      </c>
      <c r="N35" s="313"/>
      <c r="O35" s="166"/>
      <c r="P35" s="166"/>
      <c r="Q35" s="166"/>
      <c r="R35" s="166"/>
      <c r="S35" s="166"/>
      <c r="T35" s="166"/>
      <c r="W35" s="128">
        <v>0.0</v>
      </c>
      <c r="X35" s="313"/>
      <c r="Y35" s="166"/>
      <c r="Z35" s="166"/>
      <c r="AA35" s="166"/>
      <c r="AB35" s="166"/>
      <c r="AC35" s="166"/>
      <c r="AD35" s="166"/>
      <c r="AE35" s="239"/>
      <c r="AG35" s="31"/>
      <c r="AH35" s="31"/>
      <c r="AI35" s="31"/>
      <c r="AJ35" s="31"/>
      <c r="AK35" s="31"/>
      <c r="AL35" s="318"/>
      <c r="AP35" s="301"/>
      <c r="AQ35" s="3"/>
      <c r="AR35" s="3"/>
      <c r="AS35" s="3"/>
      <c r="AT35" s="3"/>
      <c r="AU35" s="3"/>
      <c r="AV35" s="3"/>
      <c r="AW35" s="3"/>
      <c r="AX35" s="3"/>
      <c r="AY35" s="3"/>
      <c r="AZ35" s="3"/>
      <c r="BA35" s="3"/>
      <c r="BB35" s="3"/>
      <c r="BC35" s="3"/>
    </row>
    <row r="36" ht="15.75" customHeight="1">
      <c r="A36" s="301"/>
      <c r="C36" s="128">
        <v>0.0</v>
      </c>
      <c r="D36" s="313"/>
      <c r="E36" s="166"/>
      <c r="F36" s="166"/>
      <c r="G36" s="166"/>
      <c r="H36" s="166"/>
      <c r="I36" s="166"/>
      <c r="J36" s="166"/>
      <c r="M36" s="128">
        <v>0.0</v>
      </c>
      <c r="N36" s="313"/>
      <c r="O36" s="166"/>
      <c r="P36" s="166"/>
      <c r="Q36" s="166"/>
      <c r="R36" s="166"/>
      <c r="S36" s="166"/>
      <c r="T36" s="166"/>
      <c r="W36" s="128">
        <v>0.0</v>
      </c>
      <c r="X36" s="313"/>
      <c r="Y36" s="166"/>
      <c r="Z36" s="166"/>
      <c r="AA36" s="166"/>
      <c r="AB36" s="166"/>
      <c r="AC36" s="166"/>
      <c r="AD36" s="166"/>
      <c r="AE36" s="239"/>
      <c r="AG36" s="239"/>
      <c r="AH36" s="239"/>
      <c r="AI36" s="239"/>
      <c r="AJ36" s="239"/>
      <c r="AK36" s="239"/>
      <c r="AL36" s="239"/>
      <c r="AP36" s="301"/>
      <c r="AQ36" s="3"/>
      <c r="AR36" s="3"/>
      <c r="AS36" s="3"/>
      <c r="AT36" s="3"/>
      <c r="AU36" s="3"/>
      <c r="AV36" s="3"/>
      <c r="AW36" s="3"/>
      <c r="AX36" s="3"/>
      <c r="AY36" s="3"/>
      <c r="AZ36" s="3"/>
      <c r="BA36" s="3"/>
      <c r="BB36" s="3"/>
      <c r="BC36" s="3"/>
    </row>
    <row r="37" ht="15.75" customHeight="1">
      <c r="A37" s="301"/>
      <c r="C37" s="128">
        <v>0.0</v>
      </c>
      <c r="D37" s="313"/>
      <c r="E37" s="166"/>
      <c r="F37" s="166"/>
      <c r="G37" s="166"/>
      <c r="H37" s="166"/>
      <c r="I37" s="166"/>
      <c r="J37" s="166"/>
      <c r="M37" s="128">
        <v>0.0</v>
      </c>
      <c r="N37" s="313"/>
      <c r="O37" s="166"/>
      <c r="P37" s="166"/>
      <c r="Q37" s="166"/>
      <c r="R37" s="166"/>
      <c r="S37" s="166"/>
      <c r="T37" s="166"/>
      <c r="W37" s="128">
        <v>0.0</v>
      </c>
      <c r="X37" s="313"/>
      <c r="Y37" s="166"/>
      <c r="Z37" s="166"/>
      <c r="AA37" s="166"/>
      <c r="AB37" s="166"/>
      <c r="AC37" s="166"/>
      <c r="AD37" s="166"/>
      <c r="AE37" s="200"/>
      <c r="AF37" s="200"/>
      <c r="AG37" s="200"/>
      <c r="AH37" s="200"/>
      <c r="AI37" s="200"/>
      <c r="AJ37" s="200"/>
      <c r="AK37" s="200"/>
      <c r="AL37" s="200"/>
      <c r="AM37" s="200"/>
      <c r="AN37" s="200"/>
      <c r="AP37" s="301"/>
      <c r="AQ37" s="3"/>
      <c r="AR37" s="3"/>
      <c r="AS37" s="3"/>
      <c r="AT37" s="3"/>
      <c r="AU37" s="3"/>
      <c r="AV37" s="3"/>
      <c r="AW37" s="3"/>
      <c r="AX37" s="3"/>
      <c r="AY37" s="3"/>
      <c r="AZ37" s="3"/>
      <c r="BA37" s="3"/>
      <c r="BB37" s="3"/>
      <c r="BC37" s="3"/>
    </row>
    <row r="38" ht="15.75" customHeight="1">
      <c r="A38" s="301"/>
      <c r="C38" s="249"/>
      <c r="D38" s="249"/>
      <c r="E38" s="249"/>
      <c r="F38" s="249"/>
      <c r="G38" s="249"/>
      <c r="H38" s="249"/>
      <c r="I38" s="249"/>
      <c r="J38" s="249"/>
      <c r="K38" s="249"/>
      <c r="L38" s="249"/>
      <c r="M38" s="249"/>
      <c r="N38" s="249"/>
      <c r="O38" s="249"/>
      <c r="P38" s="249"/>
      <c r="Q38" s="249"/>
      <c r="R38" s="249"/>
      <c r="S38" s="249"/>
      <c r="T38" s="249"/>
      <c r="U38" s="249"/>
      <c r="V38" s="249"/>
      <c r="W38" s="249"/>
      <c r="X38" s="249"/>
      <c r="Y38" s="249"/>
      <c r="Z38" s="249"/>
      <c r="AA38" s="249"/>
      <c r="AB38" s="249"/>
      <c r="AC38" s="249"/>
      <c r="AD38" s="249"/>
      <c r="AE38" s="249"/>
      <c r="AF38" s="249"/>
      <c r="AG38" s="249"/>
      <c r="AH38" s="249"/>
      <c r="AI38" s="249"/>
      <c r="AJ38" s="249"/>
      <c r="AK38" s="249"/>
      <c r="AL38" s="249"/>
      <c r="AM38" s="249"/>
      <c r="AN38" s="249"/>
      <c r="AP38" s="301"/>
      <c r="AQ38" s="3"/>
      <c r="AR38" s="3"/>
      <c r="AS38" s="3"/>
      <c r="AT38" s="3"/>
      <c r="AU38" s="3"/>
      <c r="AV38" s="3"/>
      <c r="AW38" s="3"/>
      <c r="AX38" s="3"/>
      <c r="AY38" s="3"/>
      <c r="AZ38" s="3"/>
      <c r="BA38" s="3"/>
      <c r="BB38" s="3"/>
      <c r="BC38" s="3"/>
    </row>
    <row r="39" ht="15.75" customHeight="1">
      <c r="A39" s="301"/>
      <c r="B39" s="239" t="str">
        <f>IMAGE("http://i.imgur.com/DhOsDAQ.png")</f>
        <v/>
      </c>
      <c r="C39" s="319" t="str">
        <f>IMAGE("http://i.imgur.com/fhNGYbL.png",2)</f>
        <v/>
      </c>
      <c r="E39" s="324"/>
      <c r="G39" s="320"/>
      <c r="H39" s="320"/>
      <c r="I39" s="324"/>
      <c r="K39" s="310" t="str">
        <f>IMAGE("http://i.imgur.com/GYlWKEy.png",2)</f>
        <v/>
      </c>
      <c r="L39" s="310"/>
      <c r="M39" s="128">
        <v>0.0</v>
      </c>
      <c r="N39" s="313"/>
      <c r="O39" s="166"/>
      <c r="P39" s="166"/>
      <c r="Q39" s="166"/>
      <c r="R39" s="166"/>
      <c r="S39" s="166"/>
      <c r="T39" s="166"/>
      <c r="U39" s="325" t="str">
        <f>IMAGE("http://i.imgur.com/1atTEws.png",3)</f>
        <v/>
      </c>
      <c r="W39" s="128">
        <v>0.0</v>
      </c>
      <c r="X39" s="313"/>
      <c r="Y39" s="166"/>
      <c r="Z39" s="166"/>
      <c r="AA39" s="166"/>
      <c r="AB39" s="166"/>
      <c r="AC39" s="166"/>
      <c r="AD39" s="166"/>
      <c r="AE39" s="325" t="str">
        <f>IMAGE("http://i.imgur.com/1atTEws.png",3)</f>
        <v/>
      </c>
      <c r="AG39" s="128">
        <v>0.0</v>
      </c>
      <c r="AH39" s="313"/>
      <c r="AI39" s="166"/>
      <c r="AJ39" s="166"/>
      <c r="AK39" s="166"/>
      <c r="AL39" s="166"/>
      <c r="AM39" s="166"/>
      <c r="AN39" s="166"/>
      <c r="AO39" s="239" t="str">
        <f>IMAGE("http://i.imgur.com/NNIwrh4.png",3)</f>
        <v/>
      </c>
      <c r="AP39" s="301"/>
      <c r="AQ39" s="3"/>
      <c r="AR39" s="3"/>
      <c r="AS39" s="3"/>
      <c r="AT39" s="3"/>
      <c r="AU39" s="3"/>
      <c r="AV39" s="3"/>
      <c r="AW39" s="3"/>
      <c r="AX39" s="3"/>
      <c r="AY39" s="3"/>
      <c r="AZ39" s="3"/>
      <c r="BA39" s="3"/>
      <c r="BB39" s="3"/>
      <c r="BC39" s="3"/>
    </row>
    <row r="40" ht="15.75" customHeight="1">
      <c r="A40" s="301"/>
      <c r="E40" s="247" t="s">
        <v>206</v>
      </c>
      <c r="F40" s="25"/>
      <c r="G40" s="25"/>
      <c r="H40" s="25"/>
      <c r="I40" s="25"/>
      <c r="J40" s="321"/>
      <c r="L40" s="310"/>
      <c r="M40" s="128">
        <v>0.0</v>
      </c>
      <c r="N40" s="313"/>
      <c r="O40" s="166"/>
      <c r="P40" s="166"/>
      <c r="Q40" s="166"/>
      <c r="R40" s="166"/>
      <c r="S40" s="166"/>
      <c r="T40" s="166"/>
      <c r="W40" s="128">
        <v>0.0</v>
      </c>
      <c r="X40" s="313"/>
      <c r="Y40" s="166"/>
      <c r="Z40" s="166"/>
      <c r="AA40" s="166"/>
      <c r="AB40" s="166"/>
      <c r="AC40" s="166"/>
      <c r="AD40" s="166"/>
      <c r="AG40" s="128">
        <v>0.0</v>
      </c>
      <c r="AH40" s="313"/>
      <c r="AI40" s="166"/>
      <c r="AJ40" s="166"/>
      <c r="AK40" s="166"/>
      <c r="AL40" s="166"/>
      <c r="AM40" s="166"/>
      <c r="AN40" s="166"/>
      <c r="AP40" s="301"/>
      <c r="AQ40" s="3"/>
      <c r="AR40" s="3"/>
      <c r="AS40" s="3"/>
      <c r="AT40" s="3"/>
      <c r="AU40" s="3"/>
      <c r="AV40" s="3"/>
      <c r="AW40" s="3"/>
      <c r="AX40" s="3"/>
      <c r="AY40" s="3"/>
      <c r="AZ40" s="3"/>
      <c r="BA40" s="3"/>
      <c r="BB40" s="3"/>
      <c r="BC40" s="3"/>
    </row>
    <row r="41" ht="15.75" customHeight="1">
      <c r="A41" s="301"/>
      <c r="E41" s="31"/>
      <c r="F41" s="31"/>
      <c r="G41" s="31"/>
      <c r="H41" s="31"/>
      <c r="I41" s="31"/>
      <c r="J41" s="322"/>
      <c r="L41" s="310"/>
      <c r="M41" s="128">
        <v>0.0</v>
      </c>
      <c r="N41" s="313"/>
      <c r="O41" s="166"/>
      <c r="P41" s="166"/>
      <c r="Q41" s="166"/>
      <c r="R41" s="166"/>
      <c r="S41" s="166"/>
      <c r="T41" s="166"/>
      <c r="W41" s="128">
        <v>0.0</v>
      </c>
      <c r="X41" s="313"/>
      <c r="Y41" s="166"/>
      <c r="Z41" s="166"/>
      <c r="AA41" s="166"/>
      <c r="AB41" s="166"/>
      <c r="AC41" s="166"/>
      <c r="AD41" s="166"/>
      <c r="AG41" s="128">
        <v>0.0</v>
      </c>
      <c r="AH41" s="313"/>
      <c r="AI41" s="166"/>
      <c r="AJ41" s="166"/>
      <c r="AK41" s="166"/>
      <c r="AL41" s="166"/>
      <c r="AM41" s="166"/>
      <c r="AN41" s="166"/>
      <c r="AP41" s="301"/>
      <c r="AQ41" s="3"/>
      <c r="AR41" s="3"/>
      <c r="AS41" s="3"/>
      <c r="AT41" s="3"/>
      <c r="AU41" s="3"/>
      <c r="AV41" s="3"/>
      <c r="AW41" s="3"/>
      <c r="AX41" s="3"/>
      <c r="AY41" s="3"/>
      <c r="AZ41" s="3"/>
      <c r="BA41" s="3"/>
      <c r="BB41" s="3"/>
      <c r="BC41" s="3"/>
    </row>
    <row r="42" ht="15.75" customHeight="1">
      <c r="A42" s="301"/>
      <c r="E42" s="310"/>
      <c r="F42" s="310"/>
      <c r="G42" s="320"/>
      <c r="H42" s="320"/>
      <c r="I42" s="310"/>
      <c r="J42" s="310"/>
      <c r="L42" s="310"/>
      <c r="M42" s="128">
        <v>0.0</v>
      </c>
      <c r="N42" s="313"/>
      <c r="O42" s="166"/>
      <c r="P42" s="166"/>
      <c r="Q42" s="166"/>
      <c r="R42" s="166"/>
      <c r="S42" s="166"/>
      <c r="T42" s="166"/>
      <c r="W42" s="128">
        <v>0.0</v>
      </c>
      <c r="X42" s="313"/>
      <c r="Y42" s="166"/>
      <c r="Z42" s="166"/>
      <c r="AA42" s="166"/>
      <c r="AB42" s="166"/>
      <c r="AC42" s="166"/>
      <c r="AD42" s="166"/>
      <c r="AG42" s="128">
        <v>0.0</v>
      </c>
      <c r="AH42" s="313"/>
      <c r="AI42" s="166"/>
      <c r="AJ42" s="166"/>
      <c r="AK42" s="166"/>
      <c r="AL42" s="166"/>
      <c r="AM42" s="166"/>
      <c r="AN42" s="166"/>
      <c r="AP42" s="301"/>
      <c r="AQ42" s="3"/>
      <c r="AR42" s="3"/>
      <c r="AS42" s="3"/>
      <c r="AT42" s="3"/>
      <c r="AU42" s="3"/>
      <c r="AV42" s="3"/>
      <c r="AW42" s="3"/>
      <c r="AX42" s="3"/>
      <c r="AY42" s="3"/>
      <c r="AZ42" s="3"/>
      <c r="BA42" s="3"/>
      <c r="BB42" s="3"/>
      <c r="BC42" s="3"/>
    </row>
    <row r="43" ht="15.75" customHeight="1">
      <c r="A43" s="301"/>
      <c r="C43" s="249"/>
      <c r="D43" s="249"/>
      <c r="E43" s="249"/>
      <c r="F43" s="249"/>
      <c r="G43" s="249"/>
      <c r="H43" s="249"/>
      <c r="I43" s="249"/>
      <c r="J43" s="249"/>
      <c r="K43" s="249"/>
      <c r="L43" s="249"/>
      <c r="M43" s="249"/>
      <c r="N43" s="249"/>
      <c r="O43" s="249"/>
      <c r="P43" s="249"/>
      <c r="Q43" s="249"/>
      <c r="R43" s="249"/>
      <c r="S43" s="249"/>
      <c r="T43" s="249"/>
      <c r="U43" s="249"/>
      <c r="V43" s="249"/>
      <c r="W43" s="249"/>
      <c r="X43" s="249"/>
      <c r="Y43" s="249"/>
      <c r="Z43" s="249"/>
      <c r="AA43" s="249"/>
      <c r="AB43" s="249"/>
      <c r="AC43" s="249"/>
      <c r="AD43" s="249"/>
      <c r="AE43" s="249"/>
      <c r="AF43" s="249"/>
      <c r="AG43" s="249"/>
      <c r="AH43" s="249"/>
      <c r="AI43" s="249"/>
      <c r="AJ43" s="249"/>
      <c r="AK43" s="249"/>
      <c r="AL43" s="249"/>
      <c r="AM43" s="249"/>
      <c r="AN43" s="249"/>
      <c r="AP43" s="301"/>
      <c r="AQ43" s="3"/>
      <c r="AR43" s="3"/>
      <c r="AS43" s="3"/>
      <c r="AT43" s="3"/>
      <c r="AU43" s="3"/>
      <c r="AV43" s="3"/>
      <c r="AW43" s="3"/>
      <c r="AX43" s="3"/>
      <c r="AY43" s="3"/>
      <c r="AZ43" s="3"/>
      <c r="BA43" s="3"/>
      <c r="BB43" s="3"/>
      <c r="BC43" s="3"/>
    </row>
    <row r="44" ht="15.75" customHeight="1">
      <c r="A44" s="301"/>
      <c r="B44" s="239" t="str">
        <f>IMAGE("http://i.imgur.com/DhOsDAQ.png")</f>
        <v/>
      </c>
      <c r="C44" s="128">
        <v>0.0</v>
      </c>
      <c r="D44" s="313"/>
      <c r="E44" s="166"/>
      <c r="F44" s="166"/>
      <c r="G44" s="166"/>
      <c r="H44" s="166"/>
      <c r="I44" s="166"/>
      <c r="J44" s="166"/>
      <c r="K44" s="325" t="str">
        <f>IMAGE("http://i.imgur.com/1atTEws.png",3)</f>
        <v/>
      </c>
      <c r="M44" s="128">
        <v>0.0</v>
      </c>
      <c r="N44" s="313"/>
      <c r="O44" s="166"/>
      <c r="P44" s="166"/>
      <c r="Q44" s="166"/>
      <c r="R44" s="166"/>
      <c r="S44" s="166"/>
      <c r="T44" s="166"/>
      <c r="U44" s="325" t="str">
        <f>IMAGE("http://i.imgur.com/1atTEws.png",3)</f>
        <v/>
      </c>
      <c r="W44" s="128">
        <v>0.0</v>
      </c>
      <c r="X44" s="313"/>
      <c r="Y44" s="166"/>
      <c r="Z44" s="166"/>
      <c r="AA44" s="166"/>
      <c r="AB44" s="166"/>
      <c r="AC44" s="166"/>
      <c r="AD44" s="166"/>
      <c r="AE44" s="239"/>
      <c r="AF44" s="239" t="str">
        <f>IMAGE("http://i.imgur.com/4gaCjL0.png",2)</f>
        <v/>
      </c>
      <c r="AG44" s="324"/>
      <c r="AH44" s="324"/>
      <c r="AI44" s="239"/>
      <c r="AJ44" s="239"/>
      <c r="AK44" s="324"/>
      <c r="AL44" s="324"/>
      <c r="AM44" s="239" t="str">
        <f>IMAGE("http://i.imgur.com/lP8Znaf.png",2)</f>
        <v/>
      </c>
      <c r="AO44" s="239" t="str">
        <f>IMAGE("http://i.imgur.com/NNIwrh4.png",3)</f>
        <v/>
      </c>
      <c r="AP44" s="301"/>
      <c r="AQ44" s="3"/>
      <c r="AR44" s="3"/>
      <c r="AS44" s="3"/>
      <c r="AT44" s="3"/>
      <c r="AU44" s="3"/>
      <c r="AV44" s="3"/>
      <c r="AW44" s="3"/>
      <c r="AX44" s="3"/>
      <c r="AY44" s="3"/>
      <c r="AZ44" s="3"/>
      <c r="BA44" s="3"/>
      <c r="BB44" s="3"/>
      <c r="BC44" s="3"/>
    </row>
    <row r="45" ht="15.75" customHeight="1">
      <c r="A45" s="301"/>
      <c r="C45" s="128">
        <v>0.0</v>
      </c>
      <c r="D45" s="313"/>
      <c r="E45" s="166"/>
      <c r="F45" s="166"/>
      <c r="G45" s="166"/>
      <c r="H45" s="166"/>
      <c r="I45" s="166"/>
      <c r="J45" s="166"/>
      <c r="M45" s="128">
        <v>0.0</v>
      </c>
      <c r="N45" s="313"/>
      <c r="O45" s="166"/>
      <c r="P45" s="166"/>
      <c r="Q45" s="166"/>
      <c r="R45" s="166"/>
      <c r="S45" s="166"/>
      <c r="T45" s="166"/>
      <c r="W45" s="128">
        <v>0.0</v>
      </c>
      <c r="X45" s="313"/>
      <c r="Y45" s="166"/>
      <c r="Z45" s="166"/>
      <c r="AA45" s="166"/>
      <c r="AB45" s="166"/>
      <c r="AC45" s="166"/>
      <c r="AD45" s="166"/>
      <c r="AE45" s="239"/>
      <c r="AG45" s="247" t="s">
        <v>207</v>
      </c>
      <c r="AH45" s="25"/>
      <c r="AI45" s="25"/>
      <c r="AJ45" s="25"/>
      <c r="AK45" s="25"/>
      <c r="AL45" s="256"/>
      <c r="AP45" s="301"/>
      <c r="AQ45" s="3"/>
      <c r="AR45" s="3"/>
      <c r="AS45" s="3"/>
      <c r="AT45" s="3"/>
      <c r="AU45" s="3"/>
      <c r="AV45" s="3"/>
      <c r="AW45" s="3"/>
      <c r="AX45" s="3"/>
      <c r="AY45" s="3"/>
      <c r="AZ45" s="3"/>
      <c r="BA45" s="3"/>
      <c r="BB45" s="3"/>
      <c r="BC45" s="3"/>
    </row>
    <row r="46" ht="15.75" customHeight="1">
      <c r="A46" s="301"/>
      <c r="C46" s="128">
        <v>0.0</v>
      </c>
      <c r="D46" s="313"/>
      <c r="E46" s="166"/>
      <c r="F46" s="166"/>
      <c r="G46" s="166"/>
      <c r="H46" s="166"/>
      <c r="I46" s="166"/>
      <c r="J46" s="166"/>
      <c r="M46" s="128">
        <v>0.0</v>
      </c>
      <c r="N46" s="313"/>
      <c r="O46" s="166"/>
      <c r="P46" s="166"/>
      <c r="Q46" s="166"/>
      <c r="R46" s="166"/>
      <c r="S46" s="166"/>
      <c r="T46" s="166"/>
      <c r="W46" s="128">
        <v>0.0</v>
      </c>
      <c r="X46" s="313"/>
      <c r="Y46" s="166"/>
      <c r="Z46" s="166"/>
      <c r="AA46" s="166"/>
      <c r="AB46" s="166"/>
      <c r="AC46" s="166"/>
      <c r="AD46" s="166"/>
      <c r="AE46" s="239"/>
      <c r="AG46" s="31"/>
      <c r="AH46" s="31"/>
      <c r="AI46" s="31"/>
      <c r="AJ46" s="31"/>
      <c r="AK46" s="31"/>
      <c r="AL46" s="318"/>
      <c r="AP46" s="301"/>
      <c r="AQ46" s="3"/>
      <c r="AR46" s="3"/>
      <c r="AS46" s="3"/>
      <c r="AT46" s="3"/>
      <c r="AU46" s="3"/>
      <c r="AV46" s="3"/>
      <c r="AW46" s="3"/>
      <c r="AX46" s="3"/>
      <c r="AY46" s="3"/>
      <c r="AZ46" s="3"/>
      <c r="BA46" s="3"/>
      <c r="BB46" s="3"/>
      <c r="BC46" s="3"/>
    </row>
    <row r="47" ht="15.75" customHeight="1">
      <c r="A47" s="301"/>
      <c r="C47" s="128">
        <v>0.0</v>
      </c>
      <c r="D47" s="313"/>
      <c r="E47" s="166"/>
      <c r="F47" s="166"/>
      <c r="G47" s="166"/>
      <c r="H47" s="166"/>
      <c r="I47" s="166"/>
      <c r="J47" s="166"/>
      <c r="M47" s="128">
        <v>0.0</v>
      </c>
      <c r="N47" s="313"/>
      <c r="O47" s="166"/>
      <c r="P47" s="166"/>
      <c r="Q47" s="166"/>
      <c r="R47" s="166"/>
      <c r="S47" s="166"/>
      <c r="T47" s="166"/>
      <c r="W47" s="128">
        <v>0.0</v>
      </c>
      <c r="X47" s="313"/>
      <c r="Y47" s="166"/>
      <c r="Z47" s="166"/>
      <c r="AA47" s="166"/>
      <c r="AB47" s="166"/>
      <c r="AC47" s="166"/>
      <c r="AD47" s="166"/>
      <c r="AE47" s="239"/>
      <c r="AG47" s="239"/>
      <c r="AH47" s="239"/>
      <c r="AI47" s="239"/>
      <c r="AJ47" s="239"/>
      <c r="AK47" s="239"/>
      <c r="AL47" s="239"/>
      <c r="AP47" s="301"/>
      <c r="AQ47" s="3"/>
      <c r="AR47" s="3"/>
      <c r="AS47" s="3"/>
      <c r="AT47" s="3"/>
      <c r="AU47" s="3"/>
      <c r="AV47" s="3"/>
      <c r="AW47" s="3"/>
      <c r="AX47" s="3"/>
      <c r="AY47" s="3"/>
      <c r="AZ47" s="3"/>
      <c r="BA47" s="3"/>
      <c r="BB47" s="3"/>
      <c r="BC47" s="3"/>
    </row>
    <row r="48" ht="15.75" customHeight="1">
      <c r="A48" s="301"/>
      <c r="C48" s="261"/>
      <c r="D48" s="249"/>
      <c r="E48" s="249"/>
      <c r="F48" s="249"/>
      <c r="G48" s="249"/>
      <c r="H48" s="249"/>
      <c r="I48" s="249"/>
      <c r="J48" s="249"/>
      <c r="K48" s="249"/>
      <c r="L48" s="249"/>
      <c r="M48" s="249"/>
      <c r="N48" s="249"/>
      <c r="O48" s="249"/>
      <c r="P48" s="249"/>
      <c r="Q48" s="249"/>
      <c r="R48" s="249"/>
      <c r="S48" s="249"/>
      <c r="T48" s="249"/>
      <c r="U48" s="249"/>
      <c r="V48" s="249"/>
      <c r="W48" s="249"/>
      <c r="X48" s="249"/>
      <c r="Y48" s="249"/>
      <c r="Z48" s="249"/>
      <c r="AA48" s="249"/>
      <c r="AB48" s="249"/>
      <c r="AC48" s="249"/>
      <c r="AD48" s="249"/>
      <c r="AE48" s="249"/>
      <c r="AF48" s="249"/>
      <c r="AG48" s="249"/>
      <c r="AH48" s="249"/>
      <c r="AI48" s="249"/>
      <c r="AJ48" s="249"/>
      <c r="AK48" s="249"/>
      <c r="AL48" s="249"/>
      <c r="AM48" s="249"/>
      <c r="AN48" s="249"/>
      <c r="AP48" s="301"/>
      <c r="AQ48" s="3"/>
      <c r="AR48" s="3"/>
      <c r="AS48" s="3"/>
      <c r="AT48" s="3"/>
      <c r="AU48" s="3"/>
      <c r="AV48" s="3"/>
      <c r="AW48" s="3"/>
      <c r="AX48" s="3"/>
      <c r="AY48" s="3"/>
      <c r="AZ48" s="3"/>
      <c r="BA48" s="3"/>
      <c r="BB48" s="3"/>
      <c r="BC48" s="3"/>
    </row>
    <row r="49" ht="15.75" customHeight="1">
      <c r="A49" s="301"/>
      <c r="B49" s="239" t="str">
        <f>IMAGE("http://i.imgur.com/DhOsDAQ.png")</f>
        <v/>
      </c>
      <c r="C49" s="319" t="str">
        <f>IMAGE("http://i.imgur.com/NJZrETt.png",2)</f>
        <v/>
      </c>
      <c r="E49" s="324"/>
      <c r="G49" s="320"/>
      <c r="H49" s="320"/>
      <c r="I49" s="324"/>
      <c r="K49" s="310" t="str">
        <f>IMAGE("http://i.imgur.com/GYlWKEy.png",2)</f>
        <v/>
      </c>
      <c r="L49" s="310"/>
      <c r="M49" s="128">
        <v>0.0</v>
      </c>
      <c r="N49" s="313"/>
      <c r="O49" s="166"/>
      <c r="P49" s="166"/>
      <c r="Q49" s="166"/>
      <c r="R49" s="166"/>
      <c r="S49" s="166"/>
      <c r="T49" s="166"/>
      <c r="U49" s="325" t="str">
        <f>IMAGE("http://i.imgur.com/1atTEws.png",3)</f>
        <v/>
      </c>
      <c r="W49" s="128">
        <v>0.0</v>
      </c>
      <c r="X49" s="313"/>
      <c r="Y49" s="166"/>
      <c r="Z49" s="166"/>
      <c r="AA49" s="166"/>
      <c r="AB49" s="166"/>
      <c r="AC49" s="166"/>
      <c r="AD49" s="166"/>
      <c r="AE49" s="325" t="str">
        <f>IMAGE("http://i.imgur.com/1atTEws.png",3)</f>
        <v/>
      </c>
      <c r="AG49" s="128">
        <v>0.0</v>
      </c>
      <c r="AH49" s="313"/>
      <c r="AI49" s="166"/>
      <c r="AJ49" s="166"/>
      <c r="AK49" s="166"/>
      <c r="AL49" s="166"/>
      <c r="AM49" s="166"/>
      <c r="AN49" s="166"/>
      <c r="AO49" s="239" t="str">
        <f>IMAGE("http://i.imgur.com/NNIwrh4.png",3)</f>
        <v/>
      </c>
      <c r="AP49" s="301"/>
      <c r="AQ49" s="3"/>
      <c r="AR49" s="3"/>
      <c r="AS49" s="3"/>
      <c r="AT49" s="3"/>
      <c r="AU49" s="3"/>
      <c r="AV49" s="3"/>
      <c r="AW49" s="3"/>
      <c r="AX49" s="3"/>
      <c r="AY49" s="3"/>
      <c r="AZ49" s="3"/>
      <c r="BA49" s="3"/>
      <c r="BB49" s="3"/>
      <c r="BC49" s="3"/>
    </row>
    <row r="50" ht="15.75" customHeight="1">
      <c r="A50" s="301"/>
      <c r="E50" s="247" t="s">
        <v>208</v>
      </c>
      <c r="F50" s="25"/>
      <c r="G50" s="25"/>
      <c r="H50" s="25"/>
      <c r="I50" s="25"/>
      <c r="J50" s="321"/>
      <c r="L50" s="310"/>
      <c r="M50" s="128">
        <v>0.0</v>
      </c>
      <c r="N50" s="313"/>
      <c r="O50" s="166"/>
      <c r="P50" s="166"/>
      <c r="Q50" s="166"/>
      <c r="R50" s="166"/>
      <c r="S50" s="166"/>
      <c r="T50" s="166"/>
      <c r="W50" s="128">
        <v>0.0</v>
      </c>
      <c r="X50" s="313"/>
      <c r="Y50" s="166"/>
      <c r="Z50" s="166"/>
      <c r="AA50" s="166"/>
      <c r="AB50" s="166"/>
      <c r="AC50" s="166"/>
      <c r="AD50" s="166"/>
      <c r="AG50" s="128">
        <v>0.0</v>
      </c>
      <c r="AH50" s="313"/>
      <c r="AI50" s="166"/>
      <c r="AJ50" s="166"/>
      <c r="AK50" s="166"/>
      <c r="AL50" s="166"/>
      <c r="AM50" s="166"/>
      <c r="AN50" s="166"/>
      <c r="AP50" s="301"/>
      <c r="AQ50" s="3"/>
      <c r="AR50" s="3"/>
      <c r="AS50" s="3"/>
      <c r="AT50" s="3"/>
      <c r="AU50" s="3"/>
      <c r="AV50" s="3"/>
      <c r="AW50" s="3"/>
      <c r="AX50" s="3"/>
      <c r="AY50" s="3"/>
      <c r="AZ50" s="3"/>
      <c r="BA50" s="3"/>
      <c r="BB50" s="3"/>
      <c r="BC50" s="3"/>
    </row>
    <row r="51" ht="15.75" customHeight="1">
      <c r="A51" s="301"/>
      <c r="E51" s="31"/>
      <c r="F51" s="31"/>
      <c r="G51" s="31"/>
      <c r="H51" s="31"/>
      <c r="I51" s="31"/>
      <c r="J51" s="322"/>
      <c r="L51" s="310"/>
      <c r="M51" s="128">
        <v>0.0</v>
      </c>
      <c r="N51" s="313"/>
      <c r="O51" s="166"/>
      <c r="P51" s="166"/>
      <c r="Q51" s="166"/>
      <c r="R51" s="166"/>
      <c r="S51" s="166"/>
      <c r="T51" s="166"/>
      <c r="W51" s="128">
        <v>0.0</v>
      </c>
      <c r="X51" s="313"/>
      <c r="Y51" s="166"/>
      <c r="Z51" s="166"/>
      <c r="AA51" s="166"/>
      <c r="AB51" s="166"/>
      <c r="AC51" s="166"/>
      <c r="AD51" s="166"/>
      <c r="AG51" s="128">
        <v>0.0</v>
      </c>
      <c r="AH51" s="313"/>
      <c r="AI51" s="166"/>
      <c r="AJ51" s="166"/>
      <c r="AK51" s="166"/>
      <c r="AL51" s="166"/>
      <c r="AM51" s="166"/>
      <c r="AN51" s="166"/>
      <c r="AP51" s="301"/>
      <c r="AQ51" s="3"/>
      <c r="AR51" s="3"/>
      <c r="AS51" s="3"/>
      <c r="AT51" s="3"/>
      <c r="AU51" s="3"/>
      <c r="AV51" s="3"/>
      <c r="AW51" s="3"/>
      <c r="AX51" s="3"/>
      <c r="AY51" s="3"/>
      <c r="AZ51" s="3"/>
      <c r="BA51" s="3"/>
      <c r="BB51" s="3"/>
      <c r="BC51" s="3"/>
    </row>
    <row r="52" ht="15.75" customHeight="1">
      <c r="A52" s="301"/>
      <c r="E52" s="310"/>
      <c r="F52" s="310"/>
      <c r="G52" s="320"/>
      <c r="H52" s="320"/>
      <c r="I52" s="310"/>
      <c r="J52" s="310"/>
      <c r="L52" s="310"/>
      <c r="M52" s="128">
        <v>0.0</v>
      </c>
      <c r="N52" s="313"/>
      <c r="O52" s="166"/>
      <c r="P52" s="166"/>
      <c r="Q52" s="166"/>
      <c r="R52" s="166"/>
      <c r="S52" s="166"/>
      <c r="T52" s="166"/>
      <c r="W52" s="128">
        <v>0.0</v>
      </c>
      <c r="X52" s="313"/>
      <c r="Y52" s="166"/>
      <c r="Z52" s="166"/>
      <c r="AA52" s="166"/>
      <c r="AB52" s="166"/>
      <c r="AC52" s="166"/>
      <c r="AD52" s="166"/>
      <c r="AG52" s="128">
        <v>0.0</v>
      </c>
      <c r="AH52" s="313"/>
      <c r="AI52" s="166"/>
      <c r="AJ52" s="166"/>
      <c r="AK52" s="166"/>
      <c r="AL52" s="166"/>
      <c r="AM52" s="166"/>
      <c r="AN52" s="166"/>
      <c r="AP52" s="301"/>
      <c r="AQ52" s="326"/>
      <c r="AR52" s="326"/>
      <c r="AS52" s="326"/>
      <c r="AT52" s="326"/>
      <c r="AU52" s="326"/>
      <c r="AV52" s="326"/>
      <c r="AW52" s="326"/>
      <c r="AX52" s="326"/>
      <c r="AY52" s="326"/>
      <c r="AZ52" s="326"/>
      <c r="BA52" s="326"/>
      <c r="BB52" s="326"/>
      <c r="BC52" s="326"/>
    </row>
    <row r="53" ht="15.75" customHeight="1">
      <c r="A53" s="301"/>
      <c r="C53" s="261"/>
      <c r="D53" s="249"/>
      <c r="E53" s="249"/>
      <c r="F53" s="249"/>
      <c r="G53" s="249"/>
      <c r="H53" s="249"/>
      <c r="I53" s="249"/>
      <c r="J53" s="249"/>
      <c r="K53" s="249"/>
      <c r="L53" s="249"/>
      <c r="M53" s="249"/>
      <c r="N53" s="249"/>
      <c r="O53" s="249"/>
      <c r="P53" s="249"/>
      <c r="Q53" s="249"/>
      <c r="R53" s="249"/>
      <c r="S53" s="249"/>
      <c r="T53" s="249"/>
      <c r="U53" s="249"/>
      <c r="V53" s="249"/>
      <c r="W53" s="249"/>
      <c r="X53" s="249"/>
      <c r="Y53" s="249"/>
      <c r="Z53" s="249"/>
      <c r="AA53" s="249"/>
      <c r="AB53" s="249"/>
      <c r="AC53" s="249"/>
      <c r="AD53" s="249"/>
      <c r="AE53" s="249"/>
      <c r="AF53" s="249"/>
      <c r="AG53" s="249"/>
      <c r="AH53" s="249"/>
      <c r="AI53" s="249"/>
      <c r="AJ53" s="249"/>
      <c r="AK53" s="249"/>
      <c r="AL53" s="249"/>
      <c r="AM53" s="249"/>
      <c r="AN53" s="249"/>
      <c r="AP53" s="301"/>
      <c r="AQ53" s="326"/>
      <c r="AR53" s="326"/>
      <c r="AS53" s="326"/>
      <c r="AT53" s="326"/>
      <c r="AU53" s="326"/>
      <c r="AV53" s="326"/>
      <c r="AW53" s="326"/>
      <c r="AX53" s="326"/>
      <c r="AY53" s="326"/>
      <c r="AZ53" s="326"/>
      <c r="BA53" s="326"/>
      <c r="BB53" s="326"/>
      <c r="BC53" s="326"/>
    </row>
    <row r="54" ht="15.75" customHeight="1">
      <c r="A54" s="301"/>
      <c r="B54" s="239" t="str">
        <f>IMAGE("http://i.imgur.com/BMbfOFs.png")</f>
        <v/>
      </c>
      <c r="C54" s="128">
        <v>0.0</v>
      </c>
      <c r="D54" s="313"/>
      <c r="E54" s="166"/>
      <c r="F54" s="166"/>
      <c r="G54" s="166"/>
      <c r="H54" s="166"/>
      <c r="I54" s="166"/>
      <c r="J54" s="166"/>
      <c r="K54" s="316" t="str">
        <f>IMAGE("http://i.imgur.com/1atTEws.png",3)</f>
        <v/>
      </c>
      <c r="M54" s="128">
        <v>0.0</v>
      </c>
      <c r="N54" s="313"/>
      <c r="O54" s="166"/>
      <c r="P54" s="166"/>
      <c r="Q54" s="166"/>
      <c r="R54" s="166"/>
      <c r="S54" s="166"/>
      <c r="T54" s="166"/>
      <c r="U54" s="316" t="str">
        <f>IMAGE("http://i.imgur.com/1atTEws.png",3)</f>
        <v/>
      </c>
      <c r="W54" s="128">
        <v>0.0</v>
      </c>
      <c r="X54" s="313"/>
      <c r="Y54" s="166"/>
      <c r="Z54" s="166"/>
      <c r="AA54" s="166"/>
      <c r="AB54" s="166"/>
      <c r="AC54" s="166"/>
      <c r="AD54" s="166"/>
      <c r="AE54" s="239"/>
      <c r="AF54" s="239" t="str">
        <f>IMAGE("http://i.imgur.com/4gaCjL0.png",2)</f>
        <v/>
      </c>
      <c r="AG54" s="324"/>
      <c r="AH54" s="324"/>
      <c r="AI54" s="239"/>
      <c r="AJ54" s="239"/>
      <c r="AK54" s="324"/>
      <c r="AL54" s="324"/>
      <c r="AM54" s="239" t="str">
        <f>IMAGE("http://i.imgur.com/OR783hS.png",2)</f>
        <v/>
      </c>
      <c r="AO54" s="239" t="str">
        <f>IMAGE("http://i.imgur.com/Pb1Q0X9.png")</f>
        <v/>
      </c>
      <c r="AP54" s="301"/>
      <c r="AQ54" s="326"/>
      <c r="AR54" s="326"/>
      <c r="AS54" s="326"/>
      <c r="AT54" s="326"/>
      <c r="AU54" s="326"/>
      <c r="AV54" s="326"/>
      <c r="AW54" s="326"/>
      <c r="AX54" s="326"/>
      <c r="AY54" s="326"/>
      <c r="AZ54" s="326"/>
      <c r="BA54" s="326"/>
      <c r="BB54" s="326"/>
      <c r="BC54" s="326"/>
    </row>
    <row r="55" ht="15.75" customHeight="1">
      <c r="A55" s="301"/>
      <c r="C55" s="128">
        <v>0.0</v>
      </c>
      <c r="D55" s="313"/>
      <c r="E55" s="166"/>
      <c r="F55" s="166"/>
      <c r="G55" s="166"/>
      <c r="H55" s="166"/>
      <c r="I55" s="166"/>
      <c r="J55" s="166"/>
      <c r="M55" s="128">
        <v>0.0</v>
      </c>
      <c r="N55" s="313"/>
      <c r="O55" s="166"/>
      <c r="P55" s="166"/>
      <c r="Q55" s="166"/>
      <c r="R55" s="166"/>
      <c r="S55" s="166"/>
      <c r="T55" s="166"/>
      <c r="W55" s="128">
        <v>0.0</v>
      </c>
      <c r="X55" s="313"/>
      <c r="Y55" s="166"/>
      <c r="Z55" s="166"/>
      <c r="AA55" s="166"/>
      <c r="AB55" s="166"/>
      <c r="AC55" s="166"/>
      <c r="AD55" s="166"/>
      <c r="AE55" s="239"/>
      <c r="AG55" s="247" t="s">
        <v>209</v>
      </c>
      <c r="AH55" s="25"/>
      <c r="AI55" s="25"/>
      <c r="AJ55" s="25"/>
      <c r="AK55" s="25"/>
      <c r="AL55" s="256"/>
      <c r="AP55" s="301"/>
      <c r="AQ55" s="326"/>
      <c r="AR55" s="326"/>
      <c r="AS55" s="326"/>
      <c r="AT55" s="326"/>
      <c r="AU55" s="326"/>
      <c r="AV55" s="326"/>
      <c r="AW55" s="326"/>
      <c r="AX55" s="326"/>
      <c r="AY55" s="326"/>
      <c r="AZ55" s="326"/>
      <c r="BA55" s="326"/>
      <c r="BB55" s="326"/>
      <c r="BC55" s="326"/>
    </row>
    <row r="56" ht="15.75" customHeight="1">
      <c r="A56" s="301"/>
      <c r="C56" s="128">
        <v>0.0</v>
      </c>
      <c r="D56" s="313"/>
      <c r="E56" s="166"/>
      <c r="F56" s="166"/>
      <c r="G56" s="166"/>
      <c r="H56" s="166"/>
      <c r="I56" s="166"/>
      <c r="J56" s="166"/>
      <c r="M56" s="128">
        <v>0.0</v>
      </c>
      <c r="N56" s="313"/>
      <c r="O56" s="166"/>
      <c r="P56" s="166"/>
      <c r="Q56" s="166"/>
      <c r="R56" s="166"/>
      <c r="S56" s="166"/>
      <c r="T56" s="166"/>
      <c r="W56" s="128">
        <v>0.0</v>
      </c>
      <c r="X56" s="313"/>
      <c r="Y56" s="166"/>
      <c r="Z56" s="166"/>
      <c r="AA56" s="166"/>
      <c r="AB56" s="166"/>
      <c r="AC56" s="166"/>
      <c r="AD56" s="166"/>
      <c r="AE56" s="239"/>
      <c r="AG56" s="31"/>
      <c r="AH56" s="31"/>
      <c r="AI56" s="31"/>
      <c r="AJ56" s="31"/>
      <c r="AK56" s="31"/>
      <c r="AL56" s="318"/>
      <c r="AP56" s="301"/>
      <c r="AQ56" s="326"/>
      <c r="AR56" s="326"/>
      <c r="AS56" s="326"/>
      <c r="AT56" s="326"/>
      <c r="AU56" s="326"/>
      <c r="AV56" s="326"/>
      <c r="AW56" s="326"/>
      <c r="AX56" s="326"/>
      <c r="AY56" s="326"/>
      <c r="AZ56" s="326"/>
      <c r="BA56" s="326"/>
      <c r="BB56" s="326"/>
      <c r="BC56" s="326"/>
    </row>
    <row r="57" ht="15.75" customHeight="1">
      <c r="A57" s="301"/>
      <c r="C57" s="262"/>
      <c r="D57" s="262"/>
      <c r="E57" s="262"/>
      <c r="F57" s="262"/>
      <c r="G57" s="262"/>
      <c r="H57" s="262"/>
      <c r="I57" s="262"/>
      <c r="J57" s="262"/>
      <c r="K57" s="262"/>
      <c r="L57" s="262"/>
      <c r="M57" s="262"/>
      <c r="N57" s="262"/>
      <c r="O57" s="262"/>
      <c r="P57" s="262"/>
      <c r="Q57" s="262"/>
      <c r="R57" s="262"/>
      <c r="S57" s="262"/>
      <c r="T57" s="262"/>
      <c r="U57" s="262"/>
      <c r="V57" s="262"/>
      <c r="W57" s="262"/>
      <c r="X57" s="262"/>
      <c r="Y57" s="262"/>
      <c r="Z57" s="262"/>
      <c r="AA57" s="262"/>
      <c r="AB57" s="262"/>
      <c r="AC57" s="262"/>
      <c r="AD57" s="262"/>
      <c r="AE57" s="262"/>
      <c r="AG57" s="261"/>
      <c r="AH57" s="261"/>
      <c r="AI57" s="327"/>
      <c r="AJ57" s="327"/>
      <c r="AK57" s="261"/>
      <c r="AL57" s="261"/>
      <c r="AM57" s="42"/>
      <c r="AN57" s="42"/>
      <c r="AP57" s="301"/>
      <c r="AQ57" s="326"/>
      <c r="AR57" s="326"/>
      <c r="AS57" s="326"/>
      <c r="AT57" s="326"/>
      <c r="AU57" s="326"/>
      <c r="AV57" s="326"/>
      <c r="AW57" s="326"/>
      <c r="AX57" s="326"/>
      <c r="AY57" s="326"/>
      <c r="AZ57" s="326"/>
      <c r="BA57" s="326"/>
      <c r="BB57" s="326"/>
      <c r="BC57" s="326"/>
    </row>
    <row r="58" ht="15.75" customHeight="1">
      <c r="A58" s="301"/>
      <c r="B58" s="239" t="str">
        <f>IMAGE("http://i.imgur.com/BMbfOFs.png")</f>
        <v/>
      </c>
      <c r="C58" s="319" t="str">
        <f>IMAGE("http://i.imgur.com/L1yfsX1.png",2)</f>
        <v/>
      </c>
      <c r="E58" s="324"/>
      <c r="G58" s="320"/>
      <c r="H58" s="320"/>
      <c r="I58" s="324"/>
      <c r="K58" s="310" t="str">
        <f>IMAGE("http://i.imgur.com/GYlWKEy.png",2)</f>
        <v/>
      </c>
      <c r="L58" s="310"/>
      <c r="M58" s="128">
        <v>0.0</v>
      </c>
      <c r="N58" s="313"/>
      <c r="O58" s="166"/>
      <c r="P58" s="166"/>
      <c r="Q58" s="166"/>
      <c r="R58" s="166"/>
      <c r="S58" s="166"/>
      <c r="T58" s="166"/>
      <c r="U58" s="316" t="str">
        <f>IMAGE("http://i.imgur.com/1atTEws.png",3)</f>
        <v/>
      </c>
      <c r="W58" s="128">
        <v>0.0</v>
      </c>
      <c r="X58" s="313"/>
      <c r="Y58" s="166"/>
      <c r="Z58" s="166"/>
      <c r="AA58" s="166"/>
      <c r="AB58" s="166"/>
      <c r="AC58" s="166"/>
      <c r="AD58" s="166"/>
      <c r="AE58" s="316" t="str">
        <f>IMAGE("http://i.imgur.com/1atTEws.png",3)</f>
        <v/>
      </c>
      <c r="AG58" s="128">
        <v>0.0</v>
      </c>
      <c r="AH58" s="313"/>
      <c r="AI58" s="166"/>
      <c r="AJ58" s="166"/>
      <c r="AK58" s="166"/>
      <c r="AL58" s="166"/>
      <c r="AM58" s="166"/>
      <c r="AN58" s="166"/>
      <c r="AO58" s="239" t="str">
        <f>IMAGE("http://i.imgur.com/Pb1Q0X9.png")</f>
        <v/>
      </c>
      <c r="AP58" s="301"/>
      <c r="AQ58" s="326"/>
      <c r="AR58" s="326"/>
      <c r="AS58" s="326"/>
      <c r="AT58" s="326"/>
      <c r="AU58" s="326"/>
      <c r="AV58" s="326"/>
      <c r="AW58" s="326"/>
      <c r="AX58" s="326"/>
      <c r="AY58" s="326"/>
      <c r="AZ58" s="326"/>
      <c r="BA58" s="326"/>
      <c r="BB58" s="326"/>
      <c r="BC58" s="326"/>
    </row>
    <row r="59" ht="15.75" customHeight="1">
      <c r="A59" s="301"/>
      <c r="E59" s="247" t="s">
        <v>210</v>
      </c>
      <c r="F59" s="25"/>
      <c r="G59" s="25"/>
      <c r="H59" s="25"/>
      <c r="I59" s="25"/>
      <c r="J59" s="321"/>
      <c r="L59" s="310"/>
      <c r="M59" s="128">
        <v>0.0</v>
      </c>
      <c r="N59" s="313"/>
      <c r="O59" s="166"/>
      <c r="P59" s="166"/>
      <c r="Q59" s="166"/>
      <c r="R59" s="166"/>
      <c r="S59" s="166"/>
      <c r="T59" s="166"/>
      <c r="W59" s="128">
        <v>0.0</v>
      </c>
      <c r="X59" s="313"/>
      <c r="Y59" s="166"/>
      <c r="Z59" s="166"/>
      <c r="AA59" s="166"/>
      <c r="AB59" s="166"/>
      <c r="AC59" s="166"/>
      <c r="AD59" s="166"/>
      <c r="AG59" s="128">
        <v>0.0</v>
      </c>
      <c r="AH59" s="313"/>
      <c r="AI59" s="166"/>
      <c r="AJ59" s="166"/>
      <c r="AK59" s="166"/>
      <c r="AL59" s="166"/>
      <c r="AM59" s="166"/>
      <c r="AN59" s="166"/>
      <c r="AP59" s="301"/>
      <c r="AQ59" s="326"/>
      <c r="AR59" s="326"/>
      <c r="AS59" s="326"/>
      <c r="AT59" s="326"/>
      <c r="AU59" s="326"/>
      <c r="AV59" s="326"/>
      <c r="AW59" s="326"/>
      <c r="AX59" s="326"/>
      <c r="AY59" s="326"/>
      <c r="AZ59" s="326"/>
      <c r="BA59" s="326"/>
      <c r="BB59" s="326"/>
      <c r="BC59" s="326"/>
    </row>
    <row r="60" ht="15.75" customHeight="1">
      <c r="A60" s="301"/>
      <c r="E60" s="31"/>
      <c r="F60" s="31"/>
      <c r="G60" s="31"/>
      <c r="H60" s="31"/>
      <c r="I60" s="31"/>
      <c r="J60" s="322"/>
      <c r="L60" s="310"/>
      <c r="M60" s="128">
        <v>0.0</v>
      </c>
      <c r="N60" s="313"/>
      <c r="O60" s="166"/>
      <c r="P60" s="166"/>
      <c r="Q60" s="166"/>
      <c r="R60" s="166"/>
      <c r="S60" s="166"/>
      <c r="T60" s="166"/>
      <c r="W60" s="128">
        <v>0.0</v>
      </c>
      <c r="X60" s="313"/>
      <c r="Y60" s="166"/>
      <c r="Z60" s="166"/>
      <c r="AA60" s="166"/>
      <c r="AB60" s="166"/>
      <c r="AC60" s="166"/>
      <c r="AD60" s="166"/>
      <c r="AG60" s="128">
        <v>0.0</v>
      </c>
      <c r="AH60" s="313"/>
      <c r="AI60" s="166"/>
      <c r="AJ60" s="166"/>
      <c r="AK60" s="166"/>
      <c r="AL60" s="166"/>
      <c r="AM60" s="166"/>
      <c r="AN60" s="166"/>
      <c r="AP60" s="301"/>
      <c r="AQ60" s="326"/>
      <c r="AR60" s="326"/>
      <c r="AS60" s="326"/>
      <c r="AT60" s="326"/>
      <c r="AU60" s="326"/>
      <c r="AV60" s="326"/>
      <c r="AW60" s="326"/>
      <c r="AX60" s="326"/>
      <c r="AY60" s="326"/>
      <c r="AZ60" s="326"/>
      <c r="BA60" s="326"/>
      <c r="BB60" s="326"/>
      <c r="BC60" s="326"/>
    </row>
    <row r="61" ht="15.75" customHeight="1">
      <c r="A61" s="301"/>
      <c r="C61" s="42"/>
      <c r="D61" s="42"/>
      <c r="E61" s="315"/>
      <c r="F61" s="315"/>
      <c r="G61" s="328"/>
      <c r="H61" s="328"/>
      <c r="I61" s="315"/>
      <c r="J61" s="315"/>
      <c r="L61" s="262"/>
      <c r="M61" s="262"/>
      <c r="N61" s="262"/>
      <c r="O61" s="262"/>
      <c r="P61" s="262"/>
      <c r="Q61" s="262"/>
      <c r="R61" s="262"/>
      <c r="S61" s="262"/>
      <c r="T61" s="262"/>
      <c r="U61" s="262"/>
      <c r="V61" s="262"/>
      <c r="W61" s="262"/>
      <c r="X61" s="262"/>
      <c r="Y61" s="262"/>
      <c r="Z61" s="262"/>
      <c r="AA61" s="262"/>
      <c r="AB61" s="262"/>
      <c r="AC61" s="262"/>
      <c r="AD61" s="262"/>
      <c r="AE61" s="262"/>
      <c r="AF61" s="262"/>
      <c r="AG61" s="262"/>
      <c r="AH61" s="262"/>
      <c r="AI61" s="262"/>
      <c r="AJ61" s="262"/>
      <c r="AK61" s="262"/>
      <c r="AL61" s="262"/>
      <c r="AM61" s="262"/>
      <c r="AN61" s="262"/>
      <c r="AP61" s="301"/>
      <c r="AQ61" s="326"/>
      <c r="AR61" s="326"/>
      <c r="AS61" s="326"/>
      <c r="AT61" s="326"/>
      <c r="AU61" s="326"/>
      <c r="AV61" s="326"/>
      <c r="AW61" s="326"/>
      <c r="AX61" s="326"/>
      <c r="AY61" s="326"/>
      <c r="AZ61" s="326"/>
      <c r="BA61" s="326"/>
      <c r="BB61" s="326"/>
      <c r="BC61" s="326"/>
    </row>
    <row r="62" ht="15.75" customHeight="1">
      <c r="A62" s="301"/>
      <c r="B62" s="239" t="str">
        <f>IMAGE("http://i.imgur.com/BMbfOFs.png")</f>
        <v/>
      </c>
      <c r="C62" s="128">
        <v>0.0</v>
      </c>
      <c r="D62" s="313"/>
      <c r="E62" s="166"/>
      <c r="F62" s="166"/>
      <c r="G62" s="166"/>
      <c r="H62" s="166"/>
      <c r="I62" s="166"/>
      <c r="J62" s="166"/>
      <c r="K62" s="316" t="str">
        <f>IMAGE("http://i.imgur.com/1atTEws.png",3)</f>
        <v/>
      </c>
      <c r="M62" s="128">
        <v>0.0</v>
      </c>
      <c r="N62" s="313"/>
      <c r="O62" s="166"/>
      <c r="P62" s="166"/>
      <c r="Q62" s="166"/>
      <c r="R62" s="166"/>
      <c r="S62" s="166"/>
      <c r="T62" s="166"/>
      <c r="U62" s="316" t="str">
        <f>IMAGE("http://i.imgur.com/1atTEws.png",3)</f>
        <v/>
      </c>
      <c r="W62" s="128">
        <v>0.0</v>
      </c>
      <c r="X62" s="313"/>
      <c r="Y62" s="166"/>
      <c r="Z62" s="166"/>
      <c r="AA62" s="166"/>
      <c r="AB62" s="166"/>
      <c r="AC62" s="166"/>
      <c r="AD62" s="166"/>
      <c r="AE62" s="239"/>
      <c r="AF62" s="239" t="str">
        <f>IMAGE("http://i.imgur.com/4gaCjL0.png",2)</f>
        <v/>
      </c>
      <c r="AG62" s="324"/>
      <c r="AH62" s="324"/>
      <c r="AI62" s="239"/>
      <c r="AJ62" s="239"/>
      <c r="AK62" s="324"/>
      <c r="AL62" s="324"/>
      <c r="AM62" s="239" t="str">
        <f>IMAGE("http://i.imgur.com/xud2MwT.png",2)</f>
        <v/>
      </c>
      <c r="AO62" s="239" t="str">
        <f>IMAGE("http://i.imgur.com/Pb1Q0X9.png")</f>
        <v/>
      </c>
      <c r="AP62" s="301"/>
      <c r="AQ62" s="326"/>
      <c r="AR62" s="326"/>
      <c r="AS62" s="326"/>
      <c r="AT62" s="326"/>
      <c r="AU62" s="326"/>
      <c r="AV62" s="326"/>
      <c r="AW62" s="326"/>
      <c r="AX62" s="326"/>
      <c r="AY62" s="326"/>
      <c r="AZ62" s="326"/>
      <c r="BA62" s="326"/>
      <c r="BB62" s="326"/>
      <c r="BC62" s="326"/>
    </row>
    <row r="63" ht="15.75" customHeight="1">
      <c r="A63" s="301"/>
      <c r="C63" s="128">
        <v>0.0</v>
      </c>
      <c r="D63" s="313"/>
      <c r="E63" s="166"/>
      <c r="F63" s="166"/>
      <c r="G63" s="166"/>
      <c r="H63" s="166"/>
      <c r="I63" s="166"/>
      <c r="J63" s="166"/>
      <c r="M63" s="128">
        <v>0.0</v>
      </c>
      <c r="N63" s="313"/>
      <c r="O63" s="166"/>
      <c r="P63" s="166"/>
      <c r="Q63" s="166"/>
      <c r="R63" s="166"/>
      <c r="S63" s="166"/>
      <c r="T63" s="166"/>
      <c r="W63" s="128">
        <v>0.0</v>
      </c>
      <c r="X63" s="313"/>
      <c r="Y63" s="166"/>
      <c r="Z63" s="166"/>
      <c r="AA63" s="166"/>
      <c r="AB63" s="166"/>
      <c r="AC63" s="166"/>
      <c r="AD63" s="166"/>
      <c r="AE63" s="239"/>
      <c r="AG63" s="247" t="s">
        <v>211</v>
      </c>
      <c r="AH63" s="25"/>
      <c r="AI63" s="25"/>
      <c r="AJ63" s="25"/>
      <c r="AK63" s="25"/>
      <c r="AL63" s="256"/>
      <c r="AP63" s="301"/>
      <c r="AQ63" s="326"/>
      <c r="AR63" s="326"/>
      <c r="AS63" s="326"/>
      <c r="AT63" s="326"/>
      <c r="AU63" s="326"/>
      <c r="AV63" s="326"/>
      <c r="AW63" s="326"/>
      <c r="AX63" s="326"/>
      <c r="AY63" s="326"/>
      <c r="AZ63" s="326"/>
      <c r="BA63" s="326"/>
      <c r="BB63" s="326"/>
      <c r="BC63" s="326"/>
    </row>
    <row r="64" ht="15.75" customHeight="1">
      <c r="A64" s="301"/>
      <c r="C64" s="128">
        <v>0.0</v>
      </c>
      <c r="D64" s="313"/>
      <c r="E64" s="166"/>
      <c r="F64" s="166"/>
      <c r="G64" s="166"/>
      <c r="H64" s="166"/>
      <c r="I64" s="166"/>
      <c r="J64" s="166"/>
      <c r="M64" s="128">
        <v>0.0</v>
      </c>
      <c r="N64" s="313"/>
      <c r="O64" s="166"/>
      <c r="P64" s="166"/>
      <c r="Q64" s="166"/>
      <c r="R64" s="166"/>
      <c r="S64" s="166"/>
      <c r="T64" s="166"/>
      <c r="W64" s="128">
        <v>0.0</v>
      </c>
      <c r="X64" s="313"/>
      <c r="Y64" s="166"/>
      <c r="Z64" s="166"/>
      <c r="AA64" s="166"/>
      <c r="AB64" s="166"/>
      <c r="AC64" s="166"/>
      <c r="AD64" s="166"/>
      <c r="AE64" s="239"/>
      <c r="AG64" s="31"/>
      <c r="AH64" s="31"/>
      <c r="AI64" s="31"/>
      <c r="AJ64" s="31"/>
      <c r="AK64" s="31"/>
      <c r="AL64" s="318"/>
      <c r="AP64" s="301"/>
      <c r="AQ64" s="3"/>
      <c r="AR64" s="3"/>
      <c r="AS64" s="3"/>
      <c r="AT64" s="3"/>
      <c r="AU64" s="3"/>
      <c r="AV64" s="3"/>
      <c r="AW64" s="3"/>
      <c r="AX64" s="3"/>
      <c r="AY64" s="3"/>
      <c r="AZ64" s="3"/>
      <c r="BA64" s="3"/>
      <c r="BB64" s="3"/>
      <c r="BC64" s="3"/>
    </row>
    <row r="65" ht="15.75" customHeight="1">
      <c r="A65" s="301"/>
      <c r="C65" s="329"/>
      <c r="D65" s="200"/>
      <c r="E65" s="200"/>
      <c r="F65" s="200"/>
      <c r="G65" s="200"/>
      <c r="H65" s="200"/>
      <c r="I65" s="200"/>
      <c r="J65" s="200"/>
      <c r="K65" s="200"/>
      <c r="L65" s="200"/>
      <c r="M65" s="329"/>
      <c r="N65" s="200"/>
      <c r="O65" s="200"/>
      <c r="P65" s="200"/>
      <c r="Q65" s="200"/>
      <c r="R65" s="200"/>
      <c r="S65" s="200"/>
      <c r="T65" s="200"/>
      <c r="U65" s="200"/>
      <c r="V65" s="200"/>
      <c r="W65" s="330"/>
      <c r="X65" s="200"/>
      <c r="Y65" s="200"/>
      <c r="Z65" s="200"/>
      <c r="AA65" s="200"/>
      <c r="AB65" s="200"/>
      <c r="AC65" s="200"/>
      <c r="AD65" s="200"/>
      <c r="AE65" s="200"/>
      <c r="AG65" s="239"/>
      <c r="AH65" s="239"/>
      <c r="AI65" s="239"/>
      <c r="AJ65" s="239"/>
      <c r="AK65" s="239"/>
      <c r="AL65" s="239"/>
      <c r="AP65" s="301"/>
      <c r="AQ65" s="3"/>
      <c r="AR65" s="3"/>
      <c r="AS65" s="3"/>
      <c r="AT65" s="3"/>
      <c r="AU65" s="3"/>
      <c r="AV65" s="3"/>
      <c r="AW65" s="3"/>
      <c r="AX65" s="3"/>
      <c r="AY65" s="3"/>
      <c r="AZ65" s="3"/>
      <c r="BA65" s="3"/>
      <c r="BB65" s="3"/>
      <c r="BC65" s="3"/>
    </row>
    <row r="66" ht="15.75" customHeight="1">
      <c r="A66" s="301"/>
      <c r="B66" s="239" t="str">
        <f>IMAGE("http://i.imgur.com/MaFA5BQ.png",2)</f>
        <v/>
      </c>
      <c r="AP66" s="301"/>
      <c r="AQ66" s="3" t="s">
        <v>212</v>
      </c>
      <c r="AR66" s="2" t="str">
        <f>IFERROR(__xludf.DUMMYFUNCTION("arrayformula(if(regexmatch(AR79,""resist[a-z ]+?""&amp;AQ66:AQ78&amp;""[a-z ]+?damage""),
  if(find(""damage"",regexextract(AR79,""resist[a-z ]+?""&amp;AQ66:AQ78&amp;""[a-z ]+?damage""))&gt;find(AQ66:AQ78,regexextract(AR79,""resist[a-z ]+?""&amp;AQ66:AQ78&amp;""[a-z ]+?damage"")),r"&amp;"egexextract(AR79,""resist[a-z ]+?""&amp;AQ66:AQ78&amp;""[a-z ]+?damage""),""""),"""")
 &amp;if(isnumber(find(AQ66:AQ78,""bludgeoningpiercingslashing"")),
  if(regexmatch(AR79,""resist[a-z ]+?no[a-z ]+?magical[a-z ]+?damage""),
  if(find(""damage"",regexextract(AR79,"&amp;"""resist[a-z ]+?no[a-z ]+?magical[a-z ]+?damage""))&gt;find(""magical"",regexextract(AR79,""resist[a-z ]+?no[a-z ]+?magical[a-z ]+?damage"")),regexextract(AR79,""resist[a-z ]+?no[a-z ]+?magical[a-z ]+?damage""),""""),""""),""""))"),"")</f>
        <v/>
      </c>
      <c r="AS66" s="2" t="str">
        <f>IFERROR(__xludf.DUMMYFUNCTION("arrayformula(if(regexmatch(AR79,""immun[a-z ]+?""&amp;AQ66:AQ78&amp;""[a-z ]+?damage""),
  if(find(""damage"",regexextract(AR79,""immun[a-z ]+?""&amp;AQ66:AQ78&amp;""[a-z ]+?damage""))&gt;find(AQ66:AQ78,regexextract(AR79,""immun[a-z ]+?""&amp;AQ66:AQ78&amp;""[a-z ]+?damage"")),rege"&amp;"xextract(AR79,""immun[a-z ]+?""&amp;AQ66:AQ78&amp;""[a-z ]+?damage""),""""),"""")
 &amp;if(isnumber(find(AQ66:AQ78,""bludgeoningpiercingslashing"")),
  if(regexmatch(AR79,""immun[a-z ]+?no[a-z ]+?magical[a-z ]+?damage""),
  if(find(""damage"",regexextract(AR79,""immu"&amp;"n[a-z ]+?no[a-z ]+?magical[a-z ]+?damage""))&gt;find(""magical"",regexextract(AR79,""immun[a-z ]+?no[a-z ]+?magical[a-z ]+?damage"")),regexextract(AR79,""immun[a-z ]+?no[a-z ]+?magical[a-z ]+?damage""),""""),""""),""""))"),"")</f>
        <v/>
      </c>
      <c r="AT66" s="2" t="str">
        <f>IFERROR(__xludf.DUMMYFUNCTION("arrayformula(if(regexmatch(AR79,""vulner[a-z ]+?""&amp;AQ66:AQ78&amp;""[a-z ]+?damage""),
  if(find(""damage"",regexextract(AR79,""vulner[a-z ]+?""&amp;AQ66:AQ78&amp;""[a-z ]+?damage""))&gt;find(AQ66:AQ78,regexextract(AR79,""vulner[a-z ]+?""&amp;AQ66:AQ78&amp;""[a-z ]+?damage"")),r"&amp;"egexextract(AR79,""vulner[a-z ]+?""&amp;AQ66:AQ78&amp;""[a-z ]+?damage""),""""),""""))"),"")</f>
        <v/>
      </c>
      <c r="AU66" s="3" t="str">
        <f t="array" ref="AU66:AU78">if(isnumber(find("nonmagical",AR66:AR78)),"Nonmagical ","")&amp;AQ66:AQ78</f>
        <v>bludgeoning</v>
      </c>
      <c r="AV66" s="3" t="str">
        <f t="array" ref="AV66:AV78">if(isnumber(find("nonmagical",AS66:AS78)),"Nonmagical ","")&amp;AQ66:AQ78</f>
        <v>bludgeoning</v>
      </c>
      <c r="AW66" s="3"/>
      <c r="AX66" s="3"/>
      <c r="AY66" s="3"/>
      <c r="AZ66" s="3"/>
      <c r="BA66" s="3"/>
      <c r="BB66" s="3"/>
      <c r="BC66" s="3"/>
    </row>
    <row r="67" ht="15.75" customHeight="1">
      <c r="A67" s="301"/>
      <c r="B67" s="301" t="str">
        <f>IMAGE("https://i.imgur.com/dLCrlMP.png",1)</f>
        <v/>
      </c>
      <c r="C67" s="301"/>
      <c r="D67" s="301"/>
      <c r="E67" s="301"/>
      <c r="F67" s="301"/>
      <c r="G67" s="301"/>
      <c r="H67" s="301"/>
      <c r="I67" s="301"/>
      <c r="J67" s="301"/>
      <c r="K67" s="301"/>
      <c r="L67" s="301"/>
      <c r="M67" s="301"/>
      <c r="N67" s="301"/>
      <c r="O67" s="301"/>
      <c r="P67" s="301"/>
      <c r="Q67" s="301"/>
      <c r="R67" s="301" t="str">
        <f>IMAGE("https://i.imgur.com/UEkMpNa.png",1)</f>
        <v/>
      </c>
      <c r="S67" s="301" t="str">
        <f>IMAGE("https://i.imgur.com/dLCrlMP.png",1)</f>
        <v/>
      </c>
      <c r="T67" s="301"/>
      <c r="U67" s="301"/>
      <c r="V67" s="301"/>
      <c r="W67" s="301"/>
      <c r="X67" s="301"/>
      <c r="Y67" s="301"/>
      <c r="Z67" s="301"/>
      <c r="AA67" s="301"/>
      <c r="AB67" s="301"/>
      <c r="AC67" s="301"/>
      <c r="AD67" s="301"/>
      <c r="AE67" s="301"/>
      <c r="AF67" s="301"/>
      <c r="AG67" s="301"/>
      <c r="AH67" s="301"/>
      <c r="AI67" s="301"/>
      <c r="AJ67" s="301"/>
      <c r="AK67" s="301"/>
      <c r="AL67" s="301"/>
      <c r="AM67" s="301"/>
      <c r="AN67" s="301"/>
      <c r="AO67" s="301" t="str">
        <f>IMAGE("https://i.imgur.com/UEkMpNa.png",1)</f>
        <v/>
      </c>
      <c r="AP67" s="301"/>
      <c r="AQ67" s="3" t="s">
        <v>213</v>
      </c>
      <c r="AR67" s="2" t="str">
        <f>IFERROR(__xludf.DUMMYFUNCTION("""COMPUTED_VALUE"""),"")</f>
        <v/>
      </c>
      <c r="AS67" s="2" t="str">
        <f>IFERROR(__xludf.DUMMYFUNCTION("""COMPUTED_VALUE"""),"")</f>
        <v/>
      </c>
      <c r="AT67" s="2" t="str">
        <f>IFERROR(__xludf.DUMMYFUNCTION("""COMPUTED_VALUE"""),"")</f>
        <v/>
      </c>
      <c r="AU67" s="3" t="s">
        <v>213</v>
      </c>
      <c r="AV67" s="3" t="s">
        <v>213</v>
      </c>
      <c r="AW67" s="3"/>
      <c r="AX67" s="3"/>
      <c r="AY67" s="3"/>
      <c r="AZ67" s="3"/>
      <c r="BA67" s="3"/>
      <c r="BB67" s="3"/>
      <c r="BC67" s="3"/>
    </row>
    <row r="68" ht="15.75" customHeight="1">
      <c r="A68" s="301"/>
      <c r="C68" s="331" t="s">
        <v>214</v>
      </c>
      <c r="D68" s="25"/>
      <c r="E68" s="25"/>
      <c r="F68" s="25"/>
      <c r="G68" s="25"/>
      <c r="H68" s="25"/>
      <c r="I68" s="25"/>
      <c r="J68" s="25"/>
      <c r="K68" s="25"/>
      <c r="L68" s="25"/>
      <c r="M68" s="305"/>
      <c r="N68" s="331" t="s">
        <v>4</v>
      </c>
      <c r="O68" s="25"/>
      <c r="P68" s="25"/>
      <c r="Q68" s="25"/>
      <c r="T68" s="331" t="s">
        <v>215</v>
      </c>
      <c r="U68" s="25"/>
      <c r="V68" s="25"/>
      <c r="W68" s="25"/>
      <c r="X68" s="25"/>
      <c r="Y68" s="25"/>
      <c r="Z68" s="25"/>
      <c r="AA68" s="304"/>
      <c r="AB68" s="331" t="s">
        <v>216</v>
      </c>
      <c r="AC68" s="25"/>
      <c r="AD68" s="25"/>
      <c r="AE68" s="25"/>
      <c r="AF68" s="25"/>
      <c r="AG68" s="25"/>
      <c r="AH68" s="331"/>
      <c r="AI68" s="331" t="s">
        <v>217</v>
      </c>
      <c r="AJ68" s="25"/>
      <c r="AK68" s="25"/>
      <c r="AL68" s="25"/>
      <c r="AM68" s="25"/>
      <c r="AN68" s="25"/>
      <c r="AP68" s="301"/>
      <c r="AQ68" s="3" t="s">
        <v>218</v>
      </c>
      <c r="AR68" s="2" t="str">
        <f>IFERROR(__xludf.DUMMYFUNCTION("""COMPUTED_VALUE"""),"")</f>
        <v/>
      </c>
      <c r="AS68" s="2" t="str">
        <f>IFERROR(__xludf.DUMMYFUNCTION("""COMPUTED_VALUE"""),"")</f>
        <v/>
      </c>
      <c r="AT68" s="2" t="str">
        <f>IFERROR(__xludf.DUMMYFUNCTION("""COMPUTED_VALUE"""),"")</f>
        <v/>
      </c>
      <c r="AU68" s="3" t="s">
        <v>218</v>
      </c>
      <c r="AV68" s="3" t="s">
        <v>218</v>
      </c>
      <c r="AW68" s="3"/>
      <c r="AX68" s="3"/>
      <c r="AY68" s="3"/>
      <c r="AZ68" s="3"/>
      <c r="BA68" s="3"/>
      <c r="BB68" s="3"/>
      <c r="BC68" s="3"/>
    </row>
    <row r="69" ht="15.75" customHeight="1">
      <c r="A69" s="301"/>
      <c r="C69" s="151" t="str">
        <f t="array" ref="C69:C78">substitute(v2.1!$AR$6:$AR$15," ","")</f>
        <v/>
      </c>
      <c r="D69" s="152"/>
      <c r="E69" s="152"/>
      <c r="F69" s="152"/>
      <c r="G69" s="152"/>
      <c r="H69" s="152"/>
      <c r="I69" s="152"/>
      <c r="J69" s="152"/>
      <c r="K69" s="152"/>
      <c r="L69" s="152"/>
      <c r="M69" s="153" t="str">
        <f t="shared" ref="M69:M79" si="5">IMAGE("http://i.imgur.com/qlVxTyw.png",3)</f>
        <v/>
      </c>
      <c r="N69" s="276" t="str">
        <f t="array" ref="N69:N78">if(C69:C78&lt;&gt;"",vlookup(C69:C78,v2.1!AR6:AT15,3,false),"")</f>
        <v/>
      </c>
      <c r="O69" s="152"/>
      <c r="P69" s="152"/>
      <c r="Q69" s="152"/>
      <c r="T69" s="151" t="str">
        <f>IFERROR(__xludf.DUMMYFUNCTION("iferror(filter(proper(AU66:AU78),AR66:AR78&lt;&gt;"""",AS66:AS78="""",AT66:AT78=""""),"""")"),"")</f>
        <v/>
      </c>
      <c r="U69" s="152"/>
      <c r="V69" s="152"/>
      <c r="W69" s="152"/>
      <c r="X69" s="152"/>
      <c r="Y69" s="152"/>
      <c r="Z69" s="152"/>
      <c r="AA69" s="153" t="str">
        <f t="shared" ref="AA69:AA79" si="6">IMAGE("http://i.imgur.com/qlVxTyw.png",3)</f>
        <v/>
      </c>
      <c r="AB69" s="151" t="str">
        <f>IFERROR(__xludf.DUMMYFUNCTION("iferror(filter(proper(AV66:AV78),AS66:AS78&lt;&gt;""""),"""")"),"")</f>
        <v/>
      </c>
      <c r="AC69" s="152"/>
      <c r="AD69" s="152"/>
      <c r="AE69" s="152"/>
      <c r="AF69" s="152"/>
      <c r="AG69" s="152"/>
      <c r="AH69" s="153" t="str">
        <f t="shared" ref="AH69:AH79" si="7">IMAGE("http://i.imgur.com/qlVxTyw.png",3)</f>
        <v/>
      </c>
      <c r="AI69" s="151" t="str">
        <f>IFERROR(__xludf.DUMMYFUNCTION("iferror(filter(proper(AQ66:AQ78),AR66:AR78="""",AS66:AS78="""",AT66:AT78&lt;&gt;""""),"""")"),"")</f>
        <v/>
      </c>
      <c r="AJ69" s="152"/>
      <c r="AK69" s="152"/>
      <c r="AL69" s="152"/>
      <c r="AM69" s="152"/>
      <c r="AN69" s="152"/>
      <c r="AP69" s="301"/>
      <c r="AQ69" s="3" t="s">
        <v>219</v>
      </c>
      <c r="AR69" s="2" t="str">
        <f>IFERROR(__xludf.DUMMYFUNCTION("""COMPUTED_VALUE"""),"")</f>
        <v/>
      </c>
      <c r="AS69" s="2" t="str">
        <f>IFERROR(__xludf.DUMMYFUNCTION("""COMPUTED_VALUE"""),"")</f>
        <v/>
      </c>
      <c r="AT69" s="2" t="str">
        <f>IFERROR(__xludf.DUMMYFUNCTION("""COMPUTED_VALUE"""),"")</f>
        <v/>
      </c>
      <c r="AU69" s="3" t="s">
        <v>219</v>
      </c>
      <c r="AV69" s="3" t="s">
        <v>219</v>
      </c>
      <c r="AW69" s="3"/>
      <c r="AX69" s="3"/>
      <c r="AY69" s="3"/>
      <c r="AZ69" s="3"/>
      <c r="BA69" s="3"/>
      <c r="BB69" s="3"/>
      <c r="BC69" s="3"/>
    </row>
    <row r="70" ht="15.75" customHeight="1">
      <c r="A70" s="301"/>
      <c r="C70" s="151" t="s">
        <v>8</v>
      </c>
      <c r="D70" s="152"/>
      <c r="E70" s="152"/>
      <c r="F70" s="152"/>
      <c r="G70" s="152"/>
      <c r="H70" s="152"/>
      <c r="I70" s="152"/>
      <c r="J70" s="152"/>
      <c r="K70" s="152"/>
      <c r="L70" s="152"/>
      <c r="M70" s="153" t="str">
        <f t="shared" si="5"/>
        <v/>
      </c>
      <c r="N70" s="276" t="s">
        <v>8</v>
      </c>
      <c r="O70" s="152"/>
      <c r="P70" s="152"/>
      <c r="Q70" s="152"/>
      <c r="T70" s="151"/>
      <c r="U70" s="152"/>
      <c r="V70" s="152"/>
      <c r="W70" s="152"/>
      <c r="X70" s="152"/>
      <c r="Y70" s="152"/>
      <c r="Z70" s="152"/>
      <c r="AA70" s="153" t="str">
        <f t="shared" si="6"/>
        <v/>
      </c>
      <c r="AB70" s="151"/>
      <c r="AC70" s="152"/>
      <c r="AD70" s="152"/>
      <c r="AE70" s="152"/>
      <c r="AF70" s="152"/>
      <c r="AG70" s="152"/>
      <c r="AH70" s="153" t="str">
        <f t="shared" si="7"/>
        <v/>
      </c>
      <c r="AI70" s="151"/>
      <c r="AJ70" s="152"/>
      <c r="AK70" s="152"/>
      <c r="AL70" s="152"/>
      <c r="AM70" s="152"/>
      <c r="AN70" s="152"/>
      <c r="AP70" s="301"/>
      <c r="AQ70" s="3" t="s">
        <v>220</v>
      </c>
      <c r="AR70" s="2" t="str">
        <f>IFERROR(__xludf.DUMMYFUNCTION("""COMPUTED_VALUE"""),"")</f>
        <v/>
      </c>
      <c r="AS70" s="2" t="str">
        <f>IFERROR(__xludf.DUMMYFUNCTION("""COMPUTED_VALUE"""),"")</f>
        <v/>
      </c>
      <c r="AT70" s="2" t="str">
        <f>IFERROR(__xludf.DUMMYFUNCTION("""COMPUTED_VALUE"""),"")</f>
        <v/>
      </c>
      <c r="AU70" s="3" t="s">
        <v>220</v>
      </c>
      <c r="AV70" s="3" t="s">
        <v>220</v>
      </c>
      <c r="AW70" s="3"/>
      <c r="AX70" s="3"/>
      <c r="AY70" s="3"/>
      <c r="AZ70" s="3"/>
      <c r="BA70" s="3"/>
      <c r="BB70" s="3"/>
      <c r="BC70" s="3"/>
    </row>
    <row r="71" ht="15.75" customHeight="1">
      <c r="A71" s="301"/>
      <c r="C71" s="151" t="s">
        <v>8</v>
      </c>
      <c r="D71" s="152"/>
      <c r="E71" s="152"/>
      <c r="F71" s="152"/>
      <c r="G71" s="152"/>
      <c r="H71" s="152"/>
      <c r="I71" s="152"/>
      <c r="J71" s="152"/>
      <c r="K71" s="152"/>
      <c r="L71" s="152"/>
      <c r="M71" s="307" t="str">
        <f t="shared" si="5"/>
        <v/>
      </c>
      <c r="N71" s="276" t="s">
        <v>8</v>
      </c>
      <c r="O71" s="152"/>
      <c r="P71" s="152"/>
      <c r="Q71" s="152"/>
      <c r="T71" s="151"/>
      <c r="U71" s="152"/>
      <c r="V71" s="152"/>
      <c r="W71" s="152"/>
      <c r="X71" s="152"/>
      <c r="Y71" s="152"/>
      <c r="Z71" s="152"/>
      <c r="AA71" s="307" t="str">
        <f t="shared" si="6"/>
        <v/>
      </c>
      <c r="AB71" s="151"/>
      <c r="AC71" s="152"/>
      <c r="AD71" s="152"/>
      <c r="AE71" s="152"/>
      <c r="AF71" s="152"/>
      <c r="AG71" s="152"/>
      <c r="AH71" s="307" t="str">
        <f t="shared" si="7"/>
        <v/>
      </c>
      <c r="AI71" s="151"/>
      <c r="AJ71" s="152"/>
      <c r="AK71" s="152"/>
      <c r="AL71" s="152"/>
      <c r="AM71" s="152"/>
      <c r="AN71" s="152"/>
      <c r="AP71" s="301"/>
      <c r="AQ71" s="3" t="s">
        <v>221</v>
      </c>
      <c r="AR71" s="2" t="str">
        <f>IFERROR(__xludf.DUMMYFUNCTION("""COMPUTED_VALUE"""),"")</f>
        <v/>
      </c>
      <c r="AS71" s="2" t="str">
        <f>IFERROR(__xludf.DUMMYFUNCTION("""COMPUTED_VALUE"""),"")</f>
        <v/>
      </c>
      <c r="AT71" s="2" t="str">
        <f>IFERROR(__xludf.DUMMYFUNCTION("""COMPUTED_VALUE"""),"")</f>
        <v/>
      </c>
      <c r="AU71" s="3" t="s">
        <v>221</v>
      </c>
      <c r="AV71" s="3" t="s">
        <v>221</v>
      </c>
      <c r="AW71" s="3"/>
      <c r="AX71" s="3"/>
      <c r="AY71" s="3"/>
      <c r="AZ71" s="3"/>
      <c r="BA71" s="3"/>
      <c r="BB71" s="3"/>
      <c r="BC71" s="3"/>
    </row>
    <row r="72" ht="15.75" customHeight="1">
      <c r="A72" s="301"/>
      <c r="C72" s="151" t="s">
        <v>8</v>
      </c>
      <c r="D72" s="152"/>
      <c r="E72" s="152"/>
      <c r="F72" s="152"/>
      <c r="G72" s="152"/>
      <c r="H72" s="152"/>
      <c r="I72" s="152"/>
      <c r="J72" s="152"/>
      <c r="K72" s="152"/>
      <c r="L72" s="152"/>
      <c r="M72" s="307" t="str">
        <f t="shared" si="5"/>
        <v/>
      </c>
      <c r="N72" s="276" t="s">
        <v>8</v>
      </c>
      <c r="O72" s="152"/>
      <c r="P72" s="152"/>
      <c r="Q72" s="152"/>
      <c r="T72" s="151"/>
      <c r="U72" s="152"/>
      <c r="V72" s="152"/>
      <c r="W72" s="152"/>
      <c r="X72" s="152"/>
      <c r="Y72" s="152"/>
      <c r="Z72" s="152"/>
      <c r="AA72" s="307" t="str">
        <f t="shared" si="6"/>
        <v/>
      </c>
      <c r="AB72" s="151"/>
      <c r="AC72" s="152"/>
      <c r="AD72" s="152"/>
      <c r="AE72" s="152"/>
      <c r="AF72" s="152"/>
      <c r="AG72" s="152"/>
      <c r="AH72" s="307" t="str">
        <f t="shared" si="7"/>
        <v/>
      </c>
      <c r="AI72" s="151"/>
      <c r="AJ72" s="152"/>
      <c r="AK72" s="152"/>
      <c r="AL72" s="152"/>
      <c r="AM72" s="152"/>
      <c r="AN72" s="152"/>
      <c r="AP72" s="301"/>
      <c r="AQ72" s="3" t="s">
        <v>222</v>
      </c>
      <c r="AR72" s="2" t="str">
        <f>IFERROR(__xludf.DUMMYFUNCTION("""COMPUTED_VALUE"""),"")</f>
        <v/>
      </c>
      <c r="AS72" s="2" t="str">
        <f>IFERROR(__xludf.DUMMYFUNCTION("""COMPUTED_VALUE"""),"")</f>
        <v/>
      </c>
      <c r="AT72" s="2" t="str">
        <f>IFERROR(__xludf.DUMMYFUNCTION("""COMPUTED_VALUE"""),"")</f>
        <v/>
      </c>
      <c r="AU72" s="3" t="s">
        <v>222</v>
      </c>
      <c r="AV72" s="3" t="s">
        <v>222</v>
      </c>
      <c r="AW72" s="3"/>
      <c r="AX72" s="3"/>
      <c r="AY72" s="3"/>
      <c r="AZ72" s="3"/>
      <c r="BA72" s="3"/>
      <c r="BB72" s="3"/>
      <c r="BC72" s="3"/>
    </row>
    <row r="73" ht="15.75" customHeight="1">
      <c r="A73" s="301"/>
      <c r="C73" s="151" t="s">
        <v>8</v>
      </c>
      <c r="D73" s="152"/>
      <c r="E73" s="152"/>
      <c r="F73" s="152"/>
      <c r="G73" s="152"/>
      <c r="H73" s="152"/>
      <c r="I73" s="152"/>
      <c r="J73" s="152"/>
      <c r="K73" s="152"/>
      <c r="L73" s="152"/>
      <c r="M73" s="307" t="str">
        <f t="shared" si="5"/>
        <v/>
      </c>
      <c r="N73" s="276" t="s">
        <v>8</v>
      </c>
      <c r="O73" s="152"/>
      <c r="P73" s="152"/>
      <c r="Q73" s="152"/>
      <c r="T73" s="151"/>
      <c r="U73" s="152"/>
      <c r="V73" s="152"/>
      <c r="W73" s="152"/>
      <c r="X73" s="152"/>
      <c r="Y73" s="152"/>
      <c r="Z73" s="152"/>
      <c r="AA73" s="307" t="str">
        <f t="shared" si="6"/>
        <v/>
      </c>
      <c r="AB73" s="151"/>
      <c r="AC73" s="152"/>
      <c r="AD73" s="152"/>
      <c r="AE73" s="152"/>
      <c r="AF73" s="152"/>
      <c r="AG73" s="152"/>
      <c r="AH73" s="307" t="str">
        <f t="shared" si="7"/>
        <v/>
      </c>
      <c r="AI73" s="151"/>
      <c r="AJ73" s="152"/>
      <c r="AK73" s="152"/>
      <c r="AL73" s="152"/>
      <c r="AM73" s="152"/>
      <c r="AN73" s="152"/>
      <c r="AP73" s="301"/>
      <c r="AQ73" s="3" t="s">
        <v>223</v>
      </c>
      <c r="AR73" s="2" t="str">
        <f>IFERROR(__xludf.DUMMYFUNCTION("""COMPUTED_VALUE"""),"")</f>
        <v/>
      </c>
      <c r="AS73" s="2" t="str">
        <f>IFERROR(__xludf.DUMMYFUNCTION("""COMPUTED_VALUE"""),"")</f>
        <v/>
      </c>
      <c r="AT73" s="2" t="str">
        <f>IFERROR(__xludf.DUMMYFUNCTION("""COMPUTED_VALUE"""),"")</f>
        <v/>
      </c>
      <c r="AU73" s="3" t="s">
        <v>223</v>
      </c>
      <c r="AV73" s="3" t="s">
        <v>223</v>
      </c>
      <c r="AW73" s="3"/>
      <c r="AX73" s="3"/>
      <c r="AY73" s="3"/>
      <c r="AZ73" s="3"/>
      <c r="BA73" s="3"/>
      <c r="BB73" s="3"/>
      <c r="BC73" s="3"/>
    </row>
    <row r="74" ht="15.75" customHeight="1">
      <c r="A74" s="301"/>
      <c r="C74" s="151" t="s">
        <v>8</v>
      </c>
      <c r="D74" s="152"/>
      <c r="E74" s="152"/>
      <c r="F74" s="152"/>
      <c r="G74" s="152"/>
      <c r="H74" s="152"/>
      <c r="I74" s="152"/>
      <c r="J74" s="152"/>
      <c r="K74" s="152"/>
      <c r="L74" s="152"/>
      <c r="M74" s="307" t="str">
        <f t="shared" si="5"/>
        <v/>
      </c>
      <c r="N74" s="276" t="s">
        <v>8</v>
      </c>
      <c r="O74" s="152"/>
      <c r="P74" s="152"/>
      <c r="Q74" s="152"/>
      <c r="T74" s="151"/>
      <c r="U74" s="152"/>
      <c r="V74" s="152"/>
      <c r="W74" s="152"/>
      <c r="X74" s="152"/>
      <c r="Y74" s="152"/>
      <c r="Z74" s="152"/>
      <c r="AA74" s="307" t="str">
        <f t="shared" si="6"/>
        <v/>
      </c>
      <c r="AB74" s="151"/>
      <c r="AC74" s="152"/>
      <c r="AD74" s="152"/>
      <c r="AE74" s="152"/>
      <c r="AF74" s="152"/>
      <c r="AG74" s="152"/>
      <c r="AH74" s="307" t="str">
        <f t="shared" si="7"/>
        <v/>
      </c>
      <c r="AI74" s="151"/>
      <c r="AJ74" s="152"/>
      <c r="AK74" s="152"/>
      <c r="AL74" s="152"/>
      <c r="AM74" s="152"/>
      <c r="AN74" s="152"/>
      <c r="AP74" s="301"/>
      <c r="AQ74" s="3" t="s">
        <v>224</v>
      </c>
      <c r="AR74" s="2" t="str">
        <f>IFERROR(__xludf.DUMMYFUNCTION("""COMPUTED_VALUE"""),"")</f>
        <v/>
      </c>
      <c r="AS74" s="7" t="str">
        <f>IFERROR(__xludf.DUMMYFUNCTION("""COMPUTED_VALUE"""),"")</f>
        <v/>
      </c>
      <c r="AT74" s="2" t="str">
        <f>IFERROR(__xludf.DUMMYFUNCTION("""COMPUTED_VALUE"""),"")</f>
        <v/>
      </c>
      <c r="AU74" s="3" t="s">
        <v>224</v>
      </c>
      <c r="AV74" s="3" t="s">
        <v>224</v>
      </c>
      <c r="AW74" s="3"/>
      <c r="AX74" s="3"/>
      <c r="AY74" s="3"/>
      <c r="AZ74" s="3"/>
      <c r="BA74" s="3"/>
      <c r="BB74" s="3"/>
      <c r="BC74" s="3"/>
    </row>
    <row r="75" ht="15.75" customHeight="1">
      <c r="A75" s="301"/>
      <c r="C75" s="151" t="s">
        <v>8</v>
      </c>
      <c r="D75" s="152"/>
      <c r="E75" s="152"/>
      <c r="F75" s="152"/>
      <c r="G75" s="152"/>
      <c r="H75" s="152"/>
      <c r="I75" s="152"/>
      <c r="J75" s="152"/>
      <c r="K75" s="152"/>
      <c r="L75" s="152"/>
      <c r="M75" s="307" t="str">
        <f t="shared" si="5"/>
        <v/>
      </c>
      <c r="N75" s="276" t="s">
        <v>8</v>
      </c>
      <c r="O75" s="152"/>
      <c r="P75" s="152"/>
      <c r="Q75" s="152"/>
      <c r="T75" s="151"/>
      <c r="U75" s="152"/>
      <c r="V75" s="152"/>
      <c r="W75" s="152"/>
      <c r="X75" s="152"/>
      <c r="Y75" s="152"/>
      <c r="Z75" s="152"/>
      <c r="AA75" s="153" t="str">
        <f t="shared" si="6"/>
        <v/>
      </c>
      <c r="AB75" s="151"/>
      <c r="AC75" s="152"/>
      <c r="AD75" s="152"/>
      <c r="AE75" s="152"/>
      <c r="AF75" s="152"/>
      <c r="AG75" s="152"/>
      <c r="AH75" s="153" t="str">
        <f t="shared" si="7"/>
        <v/>
      </c>
      <c r="AI75" s="151"/>
      <c r="AJ75" s="152"/>
      <c r="AK75" s="152"/>
      <c r="AL75" s="152"/>
      <c r="AM75" s="152"/>
      <c r="AN75" s="152"/>
      <c r="AP75" s="301"/>
      <c r="AQ75" s="3" t="s">
        <v>225</v>
      </c>
      <c r="AR75" s="2" t="str">
        <f>IFERROR(__xludf.DUMMYFUNCTION("""COMPUTED_VALUE"""),"")</f>
        <v/>
      </c>
      <c r="AS75" s="2" t="str">
        <f>IFERROR(__xludf.DUMMYFUNCTION("""COMPUTED_VALUE"""),"")</f>
        <v/>
      </c>
      <c r="AT75" s="2" t="str">
        <f>IFERROR(__xludf.DUMMYFUNCTION("""COMPUTED_VALUE"""),"")</f>
        <v/>
      </c>
      <c r="AU75" s="3" t="s">
        <v>225</v>
      </c>
      <c r="AV75" s="3" t="s">
        <v>225</v>
      </c>
      <c r="AW75" s="3"/>
      <c r="AX75" s="3"/>
      <c r="AY75" s="3"/>
      <c r="AZ75" s="3"/>
      <c r="BA75" s="3"/>
      <c r="BB75" s="3"/>
      <c r="BC75" s="3"/>
    </row>
    <row r="76" ht="15.75" customHeight="1">
      <c r="A76" s="301"/>
      <c r="C76" s="151" t="s">
        <v>8</v>
      </c>
      <c r="D76" s="152"/>
      <c r="E76" s="152"/>
      <c r="F76" s="152"/>
      <c r="G76" s="152"/>
      <c r="H76" s="152"/>
      <c r="I76" s="152"/>
      <c r="J76" s="152"/>
      <c r="K76" s="152"/>
      <c r="L76" s="152"/>
      <c r="M76" s="307" t="str">
        <f t="shared" si="5"/>
        <v/>
      </c>
      <c r="N76" s="276" t="s">
        <v>8</v>
      </c>
      <c r="O76" s="152"/>
      <c r="P76" s="152"/>
      <c r="Q76" s="152"/>
      <c r="T76" s="151"/>
      <c r="U76" s="152"/>
      <c r="V76" s="152"/>
      <c r="W76" s="152"/>
      <c r="X76" s="152"/>
      <c r="Y76" s="152"/>
      <c r="Z76" s="152"/>
      <c r="AA76" s="153" t="str">
        <f t="shared" si="6"/>
        <v/>
      </c>
      <c r="AB76" s="151"/>
      <c r="AC76" s="152"/>
      <c r="AD76" s="152"/>
      <c r="AE76" s="152"/>
      <c r="AF76" s="152"/>
      <c r="AG76" s="152"/>
      <c r="AH76" s="153" t="str">
        <f t="shared" si="7"/>
        <v/>
      </c>
      <c r="AI76" s="151"/>
      <c r="AJ76" s="152"/>
      <c r="AK76" s="152"/>
      <c r="AL76" s="152"/>
      <c r="AM76" s="152"/>
      <c r="AN76" s="152"/>
      <c r="AP76" s="301"/>
      <c r="AQ76" s="3" t="s">
        <v>226</v>
      </c>
      <c r="AR76" s="2" t="str">
        <f>IFERROR(__xludf.DUMMYFUNCTION("""COMPUTED_VALUE"""),"")</f>
        <v/>
      </c>
      <c r="AS76" s="7" t="str">
        <f>IFERROR(__xludf.DUMMYFUNCTION("""COMPUTED_VALUE"""),"")</f>
        <v/>
      </c>
      <c r="AT76" s="2" t="str">
        <f>IFERROR(__xludf.DUMMYFUNCTION("""COMPUTED_VALUE"""),"")</f>
        <v/>
      </c>
      <c r="AU76" s="3" t="s">
        <v>226</v>
      </c>
      <c r="AV76" s="3" t="s">
        <v>226</v>
      </c>
      <c r="AW76" s="3"/>
      <c r="AX76" s="3"/>
      <c r="AY76" s="3"/>
      <c r="AZ76" s="3"/>
      <c r="BA76" s="3"/>
      <c r="BB76" s="3"/>
      <c r="BC76" s="3"/>
    </row>
    <row r="77" ht="15.75" customHeight="1">
      <c r="A77" s="301"/>
      <c r="C77" s="151" t="s">
        <v>8</v>
      </c>
      <c r="D77" s="152"/>
      <c r="E77" s="152"/>
      <c r="F77" s="152"/>
      <c r="G77" s="152"/>
      <c r="H77" s="152"/>
      <c r="I77" s="152"/>
      <c r="J77" s="152"/>
      <c r="K77" s="152"/>
      <c r="L77" s="152"/>
      <c r="M77" s="307" t="str">
        <f t="shared" si="5"/>
        <v/>
      </c>
      <c r="N77" s="276" t="s">
        <v>8</v>
      </c>
      <c r="O77" s="152"/>
      <c r="P77" s="152"/>
      <c r="Q77" s="152"/>
      <c r="T77" s="151"/>
      <c r="U77" s="152"/>
      <c r="V77" s="152"/>
      <c r="W77" s="152"/>
      <c r="X77" s="152"/>
      <c r="Y77" s="152"/>
      <c r="Z77" s="152"/>
      <c r="AA77" s="307" t="str">
        <f t="shared" si="6"/>
        <v/>
      </c>
      <c r="AB77" s="151"/>
      <c r="AC77" s="152"/>
      <c r="AD77" s="152"/>
      <c r="AE77" s="152"/>
      <c r="AF77" s="152"/>
      <c r="AG77" s="152"/>
      <c r="AH77" s="307" t="str">
        <f t="shared" si="7"/>
        <v/>
      </c>
      <c r="AI77" s="151"/>
      <c r="AJ77" s="152"/>
      <c r="AK77" s="152"/>
      <c r="AL77" s="152"/>
      <c r="AM77" s="152"/>
      <c r="AN77" s="152"/>
      <c r="AP77" s="301"/>
      <c r="AQ77" s="3" t="s">
        <v>227</v>
      </c>
      <c r="AR77" s="7" t="str">
        <f>IFERROR(__xludf.DUMMYFUNCTION("""COMPUTED_VALUE"""),"")</f>
        <v/>
      </c>
      <c r="AS77" s="7" t="str">
        <f>IFERROR(__xludf.DUMMYFUNCTION("""COMPUTED_VALUE"""),"")</f>
        <v/>
      </c>
      <c r="AT77" s="2" t="str">
        <f>IFERROR(__xludf.DUMMYFUNCTION("""COMPUTED_VALUE"""),"")</f>
        <v/>
      </c>
      <c r="AU77" s="3" t="s">
        <v>227</v>
      </c>
      <c r="AV77" s="3" t="s">
        <v>227</v>
      </c>
      <c r="AW77" s="3"/>
      <c r="AX77" s="3"/>
      <c r="AY77" s="3"/>
      <c r="AZ77" s="3"/>
      <c r="BA77" s="3"/>
      <c r="BB77" s="3"/>
      <c r="BC77" s="3"/>
    </row>
    <row r="78" ht="15.75" customHeight="1">
      <c r="A78" s="301"/>
      <c r="C78" s="332" t="s">
        <v>8</v>
      </c>
      <c r="D78" s="35"/>
      <c r="E78" s="35"/>
      <c r="F78" s="35"/>
      <c r="G78" s="35"/>
      <c r="H78" s="35"/>
      <c r="I78" s="35"/>
      <c r="J78" s="35"/>
      <c r="K78" s="35"/>
      <c r="L78" s="35"/>
      <c r="M78" s="333" t="str">
        <f t="shared" si="5"/>
        <v/>
      </c>
      <c r="N78" s="334" t="s">
        <v>8</v>
      </c>
      <c r="O78" s="35"/>
      <c r="P78" s="35"/>
      <c r="Q78" s="35"/>
      <c r="T78" s="151"/>
      <c r="U78" s="152"/>
      <c r="V78" s="152"/>
      <c r="W78" s="152"/>
      <c r="X78" s="152"/>
      <c r="Y78" s="152"/>
      <c r="Z78" s="152"/>
      <c r="AA78" s="307" t="str">
        <f t="shared" si="6"/>
        <v/>
      </c>
      <c r="AB78" s="151"/>
      <c r="AC78" s="152"/>
      <c r="AD78" s="152"/>
      <c r="AE78" s="152"/>
      <c r="AF78" s="152"/>
      <c r="AG78" s="152"/>
      <c r="AH78" s="307" t="str">
        <f t="shared" si="7"/>
        <v/>
      </c>
      <c r="AI78" s="151"/>
      <c r="AJ78" s="152"/>
      <c r="AK78" s="152"/>
      <c r="AL78" s="152"/>
      <c r="AM78" s="152"/>
      <c r="AN78" s="152"/>
      <c r="AP78" s="301"/>
      <c r="AQ78" s="3" t="s">
        <v>228</v>
      </c>
      <c r="AR78" s="7" t="str">
        <f>IFERROR(__xludf.DUMMYFUNCTION("""COMPUTED_VALUE"""),"")</f>
        <v/>
      </c>
      <c r="AS78" s="7" t="str">
        <f>IFERROR(__xludf.DUMMYFUNCTION("""COMPUTED_VALUE"""),"")</f>
        <v/>
      </c>
      <c r="AT78" s="2" t="str">
        <f>IFERROR(__xludf.DUMMYFUNCTION("""COMPUTED_VALUE"""),"")</f>
        <v/>
      </c>
      <c r="AU78" s="3" t="s">
        <v>228</v>
      </c>
      <c r="AV78" s="3" t="s">
        <v>228</v>
      </c>
      <c r="AW78" s="3"/>
      <c r="AX78" s="3"/>
      <c r="AY78" s="3"/>
      <c r="AZ78" s="3"/>
      <c r="BA78" s="3"/>
      <c r="BB78" s="3"/>
      <c r="BC78" s="3"/>
    </row>
    <row r="79" ht="15.75" customHeight="1">
      <c r="A79" s="301"/>
      <c r="C79" s="335" t="str">
        <f>"Total "&amp;if(and(level&lt;&gt;"",sum(N69:Q78)&lt;&gt;level),"Doesn't Equal Given ","")&amp;"Level"</f>
        <v>Total Level</v>
      </c>
      <c r="D79" s="336"/>
      <c r="E79" s="336"/>
      <c r="F79" s="336"/>
      <c r="G79" s="336"/>
      <c r="H79" s="336"/>
      <c r="I79" s="336"/>
      <c r="J79" s="336"/>
      <c r="K79" s="336"/>
      <c r="L79" s="336"/>
      <c r="M79" s="337" t="str">
        <f t="shared" si="5"/>
        <v/>
      </c>
      <c r="N79" s="338" t="str">
        <f>if(sum(N69:Q78)=0," ",sum(N69:Q78))</f>
        <v> </v>
      </c>
      <c r="O79" s="336"/>
      <c r="P79" s="336"/>
      <c r="Q79" s="336"/>
      <c r="T79" s="339"/>
      <c r="U79" s="152"/>
      <c r="V79" s="152"/>
      <c r="W79" s="152"/>
      <c r="X79" s="152"/>
      <c r="Y79" s="152"/>
      <c r="Z79" s="152"/>
      <c r="AA79" s="307" t="str">
        <f t="shared" si="6"/>
        <v/>
      </c>
      <c r="AB79" s="151"/>
      <c r="AC79" s="152"/>
      <c r="AD79" s="152"/>
      <c r="AE79" s="152"/>
      <c r="AF79" s="152"/>
      <c r="AG79" s="152"/>
      <c r="AH79" s="307" t="str">
        <f t="shared" si="7"/>
        <v/>
      </c>
      <c r="AI79" s="151"/>
      <c r="AJ79" s="152"/>
      <c r="AK79" s="152"/>
      <c r="AL79" s="152"/>
      <c r="AM79" s="152"/>
      <c r="AN79" s="152"/>
      <c r="AP79" s="301"/>
      <c r="AQ79" s="3"/>
      <c r="AR79" s="3" t="str">
        <f>lower(textjoin("~",True,v2.1!$BA$32:$BA$56,$BA$3:$BA$24,raceResists,v2.1!$AW$16))</f>
        <v>-~-</v>
      </c>
      <c r="AS79" s="3"/>
      <c r="AT79" s="3"/>
      <c r="AU79" s="3"/>
      <c r="AV79" s="3"/>
      <c r="AW79" s="3"/>
      <c r="AX79" s="3"/>
      <c r="AY79" s="3"/>
      <c r="AZ79" s="3"/>
      <c r="BA79" s="3"/>
      <c r="BB79" s="3"/>
      <c r="BC79" s="3"/>
    </row>
    <row r="80" ht="15.75" customHeight="1">
      <c r="A80" s="301"/>
      <c r="C80" s="302"/>
      <c r="D80" s="308"/>
      <c r="E80" s="308"/>
      <c r="F80" s="308"/>
      <c r="G80" s="308"/>
      <c r="H80" s="308"/>
      <c r="I80" s="308"/>
      <c r="J80" s="308"/>
      <c r="K80" s="308"/>
      <c r="L80" s="308"/>
      <c r="M80" s="308"/>
      <c r="N80" s="308"/>
      <c r="O80" s="308"/>
      <c r="P80" s="308"/>
      <c r="Q80" s="308"/>
      <c r="T80" s="340"/>
      <c r="U80" s="340"/>
      <c r="V80" s="341"/>
      <c r="W80" s="341"/>
      <c r="X80" s="342"/>
      <c r="Y80" s="342"/>
      <c r="Z80" s="342"/>
      <c r="AA80" s="342"/>
      <c r="AB80" s="342"/>
      <c r="AC80" s="342"/>
      <c r="AD80" s="342"/>
      <c r="AE80" s="342"/>
      <c r="AF80" s="342"/>
      <c r="AG80" s="302"/>
      <c r="AH80" s="302"/>
      <c r="AI80" s="302"/>
      <c r="AJ80" s="302"/>
      <c r="AK80" s="302"/>
      <c r="AL80" s="302"/>
      <c r="AM80" s="302"/>
      <c r="AN80" s="302"/>
      <c r="AP80" s="301"/>
      <c r="AQ80" s="3"/>
      <c r="AR80" s="3"/>
      <c r="AS80" s="3"/>
      <c r="AT80" s="3"/>
      <c r="AU80" s="3"/>
      <c r="AV80" s="3"/>
      <c r="AW80" s="3"/>
      <c r="AX80" s="3"/>
      <c r="AY80" s="3"/>
      <c r="AZ80" s="3"/>
      <c r="BA80" s="3"/>
      <c r="BB80" s="3"/>
      <c r="BC80" s="3"/>
    </row>
    <row r="81" ht="15.75" customHeight="1">
      <c r="A81" s="301"/>
      <c r="C81" s="12"/>
      <c r="D81" s="301"/>
      <c r="E81" s="301"/>
      <c r="F81" s="301"/>
      <c r="G81" s="301"/>
      <c r="H81" s="301"/>
      <c r="I81" s="301"/>
      <c r="J81" s="301"/>
      <c r="K81" s="301"/>
      <c r="L81" s="301"/>
      <c r="M81" s="301"/>
      <c r="N81" s="301"/>
      <c r="O81" s="301"/>
      <c r="P81" s="301"/>
      <c r="Q81" s="301"/>
      <c r="T81" s="301"/>
      <c r="U81" s="343"/>
      <c r="V81" s="344"/>
      <c r="W81" s="344"/>
      <c r="X81" s="345"/>
      <c r="Y81" s="345"/>
      <c r="Z81" s="345"/>
      <c r="AA81" s="345"/>
      <c r="AB81" s="345"/>
      <c r="AC81" s="345"/>
      <c r="AD81" s="345"/>
      <c r="AE81" s="345"/>
      <c r="AF81" s="345"/>
      <c r="AG81" s="301"/>
      <c r="AH81" s="301"/>
      <c r="AI81" s="301"/>
      <c r="AJ81" s="301"/>
      <c r="AK81" s="301"/>
      <c r="AL81" s="301"/>
      <c r="AM81" s="301"/>
      <c r="AN81" s="301"/>
      <c r="AP81" s="301"/>
      <c r="AQ81" s="3" t="str">
        <f>v2.1!$I$174</f>
        <v/>
      </c>
      <c r="AR81" s="3"/>
      <c r="AS81" s="3"/>
      <c r="AT81" s="3"/>
      <c r="AU81" s="3"/>
      <c r="AV81" s="3"/>
      <c r="AW81" s="3"/>
      <c r="AX81" s="3"/>
      <c r="AY81" s="3"/>
      <c r="AZ81" s="3"/>
      <c r="BA81" s="3"/>
      <c r="BB81" s="3"/>
      <c r="BC81" s="3"/>
    </row>
  </sheetData>
  <mergeCells count="340">
    <mergeCell ref="M11:T11"/>
    <mergeCell ref="W11:AB11"/>
    <mergeCell ref="M12:T12"/>
    <mergeCell ref="W12:AB12"/>
    <mergeCell ref="AD12:AF12"/>
    <mergeCell ref="AH12:AO12"/>
    <mergeCell ref="M13:T13"/>
    <mergeCell ref="W13:AB13"/>
    <mergeCell ref="AD13:AF13"/>
    <mergeCell ref="AH13:AO13"/>
    <mergeCell ref="AO16:AO20"/>
    <mergeCell ref="U17:V19"/>
    <mergeCell ref="X17:AD17"/>
    <mergeCell ref="AE17:AF19"/>
    <mergeCell ref="X18:AD18"/>
    <mergeCell ref="C16:AN16"/>
    <mergeCell ref="N17:T17"/>
    <mergeCell ref="N18:T18"/>
    <mergeCell ref="N19:T19"/>
    <mergeCell ref="X19:AD19"/>
    <mergeCell ref="AH19:AN19"/>
    <mergeCell ref="N21:T21"/>
    <mergeCell ref="X39:AD39"/>
    <mergeCell ref="E40:I41"/>
    <mergeCell ref="N40:T40"/>
    <mergeCell ref="X40:AD40"/>
    <mergeCell ref="N41:T41"/>
    <mergeCell ref="X41:AD41"/>
    <mergeCell ref="N47:T47"/>
    <mergeCell ref="N49:T49"/>
    <mergeCell ref="N50:T50"/>
    <mergeCell ref="N51:T51"/>
    <mergeCell ref="N52:T52"/>
    <mergeCell ref="N54:T54"/>
    <mergeCell ref="N55:T55"/>
    <mergeCell ref="N56:T56"/>
    <mergeCell ref="N58:T58"/>
    <mergeCell ref="U58:V60"/>
    <mergeCell ref="N59:T59"/>
    <mergeCell ref="N60:T60"/>
    <mergeCell ref="N62:T62"/>
    <mergeCell ref="U62:V64"/>
    <mergeCell ref="N63:T63"/>
    <mergeCell ref="N64:T64"/>
    <mergeCell ref="B66:AO66"/>
    <mergeCell ref="T68:Z68"/>
    <mergeCell ref="AB68:AG68"/>
    <mergeCell ref="T69:Z69"/>
    <mergeCell ref="T70:Z70"/>
    <mergeCell ref="AI70:AN70"/>
    <mergeCell ref="T73:Z73"/>
    <mergeCell ref="T74:Z74"/>
    <mergeCell ref="T75:Z75"/>
    <mergeCell ref="T76:Z76"/>
    <mergeCell ref="T77:Z77"/>
    <mergeCell ref="T78:Z78"/>
    <mergeCell ref="T79:Z79"/>
    <mergeCell ref="AB74:AG74"/>
    <mergeCell ref="AB75:AG75"/>
    <mergeCell ref="AB76:AG76"/>
    <mergeCell ref="AB77:AG77"/>
    <mergeCell ref="AB78:AG78"/>
    <mergeCell ref="AB79:AG79"/>
    <mergeCell ref="AB69:AG69"/>
    <mergeCell ref="AB70:AG70"/>
    <mergeCell ref="T71:Z71"/>
    <mergeCell ref="AB71:AG71"/>
    <mergeCell ref="T72:Z72"/>
    <mergeCell ref="AB72:AG72"/>
    <mergeCell ref="AB73:AG73"/>
    <mergeCell ref="AI76:AN76"/>
    <mergeCell ref="AI77:AN77"/>
    <mergeCell ref="AI78:AN78"/>
    <mergeCell ref="AI79:AN79"/>
    <mergeCell ref="AI68:AN68"/>
    <mergeCell ref="AI69:AN69"/>
    <mergeCell ref="AI71:AN71"/>
    <mergeCell ref="AI72:AN72"/>
    <mergeCell ref="AI73:AN73"/>
    <mergeCell ref="AI74:AN74"/>
    <mergeCell ref="AI75:AN75"/>
    <mergeCell ref="D22:J22"/>
    <mergeCell ref="D23:J23"/>
    <mergeCell ref="D24:J24"/>
    <mergeCell ref="D25:J25"/>
    <mergeCell ref="B13:G13"/>
    <mergeCell ref="I13:K13"/>
    <mergeCell ref="B16:B20"/>
    <mergeCell ref="C17:E20"/>
    <mergeCell ref="F18:J19"/>
    <mergeCell ref="B21:B26"/>
    <mergeCell ref="D21:J21"/>
    <mergeCell ref="U21:V25"/>
    <mergeCell ref="U27:V31"/>
    <mergeCell ref="U33:V37"/>
    <mergeCell ref="U39:V42"/>
    <mergeCell ref="U44:V47"/>
    <mergeCell ref="U49:V52"/>
    <mergeCell ref="U54:V56"/>
    <mergeCell ref="K17:K20"/>
    <mergeCell ref="K21:L25"/>
    <mergeCell ref="N22:T22"/>
    <mergeCell ref="N23:T23"/>
    <mergeCell ref="N24:T24"/>
    <mergeCell ref="N25:T25"/>
    <mergeCell ref="N27:T27"/>
    <mergeCell ref="N28:T28"/>
    <mergeCell ref="N29:T29"/>
    <mergeCell ref="N30:T30"/>
    <mergeCell ref="N31:T31"/>
    <mergeCell ref="N33:T33"/>
    <mergeCell ref="N34:T34"/>
    <mergeCell ref="N35:T35"/>
    <mergeCell ref="N36:T36"/>
    <mergeCell ref="N37:T37"/>
    <mergeCell ref="N39:T39"/>
    <mergeCell ref="N42:T42"/>
    <mergeCell ref="N44:T44"/>
    <mergeCell ref="N45:T45"/>
    <mergeCell ref="N46:T46"/>
    <mergeCell ref="AH50:AN50"/>
    <mergeCell ref="AH51:AN51"/>
    <mergeCell ref="AO67:AO81"/>
    <mergeCell ref="AH40:AN40"/>
    <mergeCell ref="AH41:AN41"/>
    <mergeCell ref="AO44:AO48"/>
    <mergeCell ref="AG45:AK46"/>
    <mergeCell ref="AH49:AN49"/>
    <mergeCell ref="AO49:AO53"/>
    <mergeCell ref="AH52:AN52"/>
    <mergeCell ref="X42:AD42"/>
    <mergeCell ref="AH42:AN42"/>
    <mergeCell ref="AE39:AF42"/>
    <mergeCell ref="AF44:AF47"/>
    <mergeCell ref="AE49:AF52"/>
    <mergeCell ref="AF54:AF57"/>
    <mergeCell ref="AE58:AF60"/>
    <mergeCell ref="AF62:AF65"/>
    <mergeCell ref="AO21:AO26"/>
    <mergeCell ref="AO27:AO32"/>
    <mergeCell ref="X36:AD36"/>
    <mergeCell ref="X37:AD37"/>
    <mergeCell ref="AH39:AN39"/>
    <mergeCell ref="AO39:AO43"/>
    <mergeCell ref="X44:AD44"/>
    <mergeCell ref="AM44:AN47"/>
    <mergeCell ref="AM54:AN57"/>
    <mergeCell ref="AO54:AO57"/>
    <mergeCell ref="AO58:AO61"/>
    <mergeCell ref="AM62:AN65"/>
    <mergeCell ref="AO62:AO65"/>
    <mergeCell ref="X45:AD45"/>
    <mergeCell ref="X46:AD46"/>
    <mergeCell ref="X47:AD47"/>
    <mergeCell ref="X49:AD49"/>
    <mergeCell ref="X50:AD50"/>
    <mergeCell ref="X51:AD51"/>
    <mergeCell ref="X52:AD52"/>
    <mergeCell ref="AG55:AK56"/>
    <mergeCell ref="AH58:AN58"/>
    <mergeCell ref="AH59:AN59"/>
    <mergeCell ref="AH60:AN60"/>
    <mergeCell ref="AG63:AK64"/>
    <mergeCell ref="X63:AD63"/>
    <mergeCell ref="X64:AD64"/>
    <mergeCell ref="X54:AD54"/>
    <mergeCell ref="X55:AD55"/>
    <mergeCell ref="X56:AD56"/>
    <mergeCell ref="X58:AD58"/>
    <mergeCell ref="X59:AD59"/>
    <mergeCell ref="X60:AD60"/>
    <mergeCell ref="X62:AD62"/>
    <mergeCell ref="K62:L64"/>
    <mergeCell ref="N68:Q68"/>
    <mergeCell ref="N71:Q71"/>
    <mergeCell ref="N72:Q72"/>
    <mergeCell ref="N73:Q73"/>
    <mergeCell ref="N74:Q74"/>
    <mergeCell ref="N75:Q75"/>
    <mergeCell ref="N76:Q76"/>
    <mergeCell ref="N77:Q77"/>
    <mergeCell ref="N78:Q78"/>
    <mergeCell ref="I49:J49"/>
    <mergeCell ref="K49:K52"/>
    <mergeCell ref="K54:L56"/>
    <mergeCell ref="I58:J58"/>
    <mergeCell ref="K58:K61"/>
    <mergeCell ref="R67:R81"/>
    <mergeCell ref="S67:S81"/>
    <mergeCell ref="N79:Q79"/>
    <mergeCell ref="I39:J39"/>
    <mergeCell ref="K39:K42"/>
    <mergeCell ref="B27:B32"/>
    <mergeCell ref="C27:D30"/>
    <mergeCell ref="B33:B38"/>
    <mergeCell ref="D37:J37"/>
    <mergeCell ref="B39:B43"/>
    <mergeCell ref="C39:D42"/>
    <mergeCell ref="E39:F39"/>
    <mergeCell ref="C49:D52"/>
    <mergeCell ref="E49:F49"/>
    <mergeCell ref="B54:B57"/>
    <mergeCell ref="B58:B61"/>
    <mergeCell ref="C58:D61"/>
    <mergeCell ref="E58:F58"/>
    <mergeCell ref="B62:B65"/>
    <mergeCell ref="B67:B81"/>
    <mergeCell ref="B44:B48"/>
    <mergeCell ref="D44:J44"/>
    <mergeCell ref="K44:L47"/>
    <mergeCell ref="D45:J45"/>
    <mergeCell ref="D46:J46"/>
    <mergeCell ref="D47:J47"/>
    <mergeCell ref="B49:B53"/>
    <mergeCell ref="E50:I51"/>
    <mergeCell ref="D54:J54"/>
    <mergeCell ref="D55:J55"/>
    <mergeCell ref="D56:J56"/>
    <mergeCell ref="E59:I60"/>
    <mergeCell ref="D62:J62"/>
    <mergeCell ref="D63:J63"/>
    <mergeCell ref="N69:Q69"/>
    <mergeCell ref="N70:Q70"/>
    <mergeCell ref="C74:L74"/>
    <mergeCell ref="C75:L75"/>
    <mergeCell ref="C76:L76"/>
    <mergeCell ref="C77:L77"/>
    <mergeCell ref="C78:L78"/>
    <mergeCell ref="C79:L79"/>
    <mergeCell ref="D64:J64"/>
    <mergeCell ref="C68:L68"/>
    <mergeCell ref="C69:L69"/>
    <mergeCell ref="C70:L70"/>
    <mergeCell ref="C71:L71"/>
    <mergeCell ref="C72:L72"/>
    <mergeCell ref="C73:L73"/>
    <mergeCell ref="AD2:AF2"/>
    <mergeCell ref="AH2:AK2"/>
    <mergeCell ref="I2:K2"/>
    <mergeCell ref="I3:K3"/>
    <mergeCell ref="W2:AB2"/>
    <mergeCell ref="W3:AB3"/>
    <mergeCell ref="AD3:AF3"/>
    <mergeCell ref="AH3:AO3"/>
    <mergeCell ref="B4:G4"/>
    <mergeCell ref="I4:K4"/>
    <mergeCell ref="AD4:AF4"/>
    <mergeCell ref="AH4:AO4"/>
    <mergeCell ref="B5:G5"/>
    <mergeCell ref="I5:K5"/>
    <mergeCell ref="M4:T4"/>
    <mergeCell ref="W4:AB4"/>
    <mergeCell ref="M5:T5"/>
    <mergeCell ref="W5:AB5"/>
    <mergeCell ref="AD5:AF5"/>
    <mergeCell ref="AH5:AO5"/>
    <mergeCell ref="B6:G6"/>
    <mergeCell ref="I6:K6"/>
    <mergeCell ref="M6:T6"/>
    <mergeCell ref="W6:AB6"/>
    <mergeCell ref="AD6:AF6"/>
    <mergeCell ref="AH6:AO6"/>
    <mergeCell ref="B7:G7"/>
    <mergeCell ref="I7:K7"/>
    <mergeCell ref="M7:T7"/>
    <mergeCell ref="W7:AB7"/>
    <mergeCell ref="AD7:AF7"/>
    <mergeCell ref="AH7:AO7"/>
    <mergeCell ref="B8:G8"/>
    <mergeCell ref="I8:K8"/>
    <mergeCell ref="M8:T8"/>
    <mergeCell ref="W8:AB8"/>
    <mergeCell ref="AD8:AF8"/>
    <mergeCell ref="AH8:AO8"/>
    <mergeCell ref="B9:G9"/>
    <mergeCell ref="I9:K9"/>
    <mergeCell ref="AD9:AF9"/>
    <mergeCell ref="AH9:AO9"/>
    <mergeCell ref="M9:T9"/>
    <mergeCell ref="W9:AB9"/>
    <mergeCell ref="B10:G10"/>
    <mergeCell ref="I10:K10"/>
    <mergeCell ref="M10:T10"/>
    <mergeCell ref="W10:AB10"/>
    <mergeCell ref="AD10:AF10"/>
    <mergeCell ref="AH10:AO10"/>
    <mergeCell ref="B11:G11"/>
    <mergeCell ref="I11:K11"/>
    <mergeCell ref="AD11:AF11"/>
    <mergeCell ref="AH11:AO11"/>
    <mergeCell ref="B12:G12"/>
    <mergeCell ref="I12:K12"/>
    <mergeCell ref="B14:T14"/>
    <mergeCell ref="W14:AO14"/>
    <mergeCell ref="A1:A15"/>
    <mergeCell ref="U1:V15"/>
    <mergeCell ref="AP1:AP15"/>
    <mergeCell ref="B2:G2"/>
    <mergeCell ref="M2:P2"/>
    <mergeCell ref="B3:G3"/>
    <mergeCell ref="M3:T3"/>
    <mergeCell ref="X27:AD27"/>
    <mergeCell ref="X28:AD28"/>
    <mergeCell ref="AH28:AN28"/>
    <mergeCell ref="AH29:AN29"/>
    <mergeCell ref="AH30:AN30"/>
    <mergeCell ref="AH31:AN31"/>
    <mergeCell ref="AM33:AN36"/>
    <mergeCell ref="AO33:AO38"/>
    <mergeCell ref="AG34:AK35"/>
    <mergeCell ref="AH17:AN17"/>
    <mergeCell ref="AH18:AN18"/>
    <mergeCell ref="AF21:AF24"/>
    <mergeCell ref="AK21:AL21"/>
    <mergeCell ref="AM21:AN24"/>
    <mergeCell ref="AG22:AK23"/>
    <mergeCell ref="AH27:AN27"/>
    <mergeCell ref="X29:AD29"/>
    <mergeCell ref="X30:AD30"/>
    <mergeCell ref="X33:AD33"/>
    <mergeCell ref="AF33:AF36"/>
    <mergeCell ref="X34:AD34"/>
    <mergeCell ref="X35:AD35"/>
    <mergeCell ref="X21:AD21"/>
    <mergeCell ref="AG21:AH21"/>
    <mergeCell ref="X22:AD22"/>
    <mergeCell ref="X23:AD23"/>
    <mergeCell ref="X24:AD24"/>
    <mergeCell ref="X25:AD25"/>
    <mergeCell ref="AE27:AF31"/>
    <mergeCell ref="X31:AD31"/>
    <mergeCell ref="D35:J35"/>
    <mergeCell ref="D36:J36"/>
    <mergeCell ref="E27:F27"/>
    <mergeCell ref="I27:J27"/>
    <mergeCell ref="K27:K30"/>
    <mergeCell ref="E28:I29"/>
    <mergeCell ref="D33:J33"/>
    <mergeCell ref="K33:L37"/>
    <mergeCell ref="D34:J34"/>
  </mergeCells>
  <conditionalFormatting sqref="D21:D25 N21:N25 X21:X25 N27:N31 X27:X31 AH27:AH31 C32 D33:D37 N33:N37 X33:X37 N39:N42 X39:X42 AH39:AH42 D44:D47 N44:N47 X44:X47 N49:N52 X49:X52 AH49:AH52 D54:D56 N54:N56 X54:X56 N58:N60 X58:X60 AH58:AH60 D62:D65 N62:N65 X62:X65">
    <cfRule type="expression" dxfId="13" priority="1">
      <formula>C21=0</formula>
    </cfRule>
  </conditionalFormatting>
  <conditionalFormatting sqref="M17:M19 W17:W19 AG17:AG19 C21:C25 M21:M25 W21:W25 M27:M31 W27:W31 AG27:AG31 C33:C37 M33:M37 W33:W37 M39:M42 W39:W42 AG39:AG42 C44:C47 M44:M47 W44:W47 M49:M52 W49:W52 AG49:AG52 C54:C57 M54:M65 W54:W65 AG58:AG61 L61 V61 AF61 C62:C65">
    <cfRule type="expression" dxfId="13" priority="2">
      <formula>N17=""</formula>
    </cfRule>
  </conditionalFormatting>
  <conditionalFormatting sqref="B14 W14">
    <cfRule type="notContainsText" dxfId="3" priority="3" operator="notContains" text="ADDITIONAL ATTACKS">
      <formula>ISERROR(SEARCH(("ADDITIONAL ATTACKS"),(B14)))</formula>
    </cfRule>
  </conditionalFormatting>
  <conditionalFormatting sqref="F18 AG22 E28 AG34 E40 AG45 E50 AG55 E59 AG63 C68 N68 T68 AB68 AI68 C79 B14 W14">
    <cfRule type="expression" dxfId="0" priority="4">
      <formula>$AQ$81="Red"</formula>
    </cfRule>
  </conditionalFormatting>
  <conditionalFormatting sqref="F18 AG22 E28 AG34 E40 AG45 E50 AG55 E59 AG63 C68 N68 T68 AB68 AI68 C79 B14 W14">
    <cfRule type="expression" dxfId="4" priority="5">
      <formula>$AQ$81="Orange"</formula>
    </cfRule>
  </conditionalFormatting>
  <conditionalFormatting sqref="F18 AG22 E28 AG34 E40 AG45 E50 AG55 E59 AG63 C68 N68 T68 AB68 AI68 C79 B14 W14">
    <cfRule type="expression" dxfId="29" priority="6">
      <formula>$AQ$81="Yellow"</formula>
    </cfRule>
  </conditionalFormatting>
  <conditionalFormatting sqref="F18 AG22 E28 AG34 E40 AG45 E50 AG55 E59 AG63 C68 N68 T68 AB68 AI68 C79 B14 W14">
    <cfRule type="expression" dxfId="30" priority="7">
      <formula>$AQ$81="Green"</formula>
    </cfRule>
  </conditionalFormatting>
  <conditionalFormatting sqref="F18 AG22 E28 AG34 E40 AG45 E50 AG55 E59 AG63 C68 N68 T68 AB68 AI68 C79 B14 W14">
    <cfRule type="expression" dxfId="31" priority="8">
      <formula>$AQ$81="Cyan"</formula>
    </cfRule>
  </conditionalFormatting>
  <conditionalFormatting sqref="F18 AG22 E28 AG34 E40 AG45 E50 AG55 E59 AG63 C68 N68 T68 AB68 AI68 C79 B14 W14">
    <cfRule type="expression" dxfId="32" priority="9">
      <formula>$AQ$81="Blue"</formula>
    </cfRule>
  </conditionalFormatting>
  <conditionalFormatting sqref="F18 AG22 E28 AG34 E40 AG45 E50 AG55 E59 AG63 C68 N68 T68 AB68 AI68 C79 B14 W14">
    <cfRule type="expression" dxfId="33" priority="10">
      <formula>$AQ$81="Purple"</formula>
    </cfRule>
  </conditionalFormatting>
  <conditionalFormatting sqref="F18 AG22 E28 AG34 E40 AG45 E50 AG55 E59 AG63 C68 N68 T68 AB68 AI68 C79 B14 W14">
    <cfRule type="expression" dxfId="34" priority="11">
      <formula>$AQ$81="Magenta"</formula>
    </cfRule>
  </conditionalFormatting>
  <dataValidations>
    <dataValidation type="list" allowBlank="1" sqref="B3:B7 B9:B13 W3:W13">
      <formula1>'Attack Info'!$B$7:$B$201</formula1>
    </dataValidation>
    <dataValidation type="list" allowBlank="1" sqref="B8">
      <formula1>'Attack Info'!$B$7:$B$101</formula1>
    </dataValidation>
  </dataValidations>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4" width="3.0"/>
    <col customWidth="1" hidden="1" min="45" max="54" width="3.0"/>
  </cols>
  <sheetData>
    <row r="1" ht="15.75" customHeight="1">
      <c r="B1" s="12"/>
      <c r="D1" s="12" t="str">
        <f>image("https://i.imgur.com/tyy4AZI.png",2)</f>
        <v/>
      </c>
      <c r="E1" s="346"/>
      <c r="F1" s="346"/>
      <c r="G1" s="346" t="str">
        <f>image("https://i.imgur.com/WaGBhTs.png",2)</f>
        <v/>
      </c>
      <c r="J1" s="12" t="str">
        <f>image("https://i.imgur.com/TEYG3Cu.png",2)</f>
        <v/>
      </c>
      <c r="K1" s="346"/>
      <c r="L1" s="346"/>
      <c r="M1" s="346" t="str">
        <f>image("https://i.imgur.com/K9uRIHq.png",2)</f>
        <v/>
      </c>
      <c r="P1" s="12" t="str">
        <f>image("https://i.imgur.com/pxT3mKE.png",2)</f>
        <v/>
      </c>
      <c r="Q1" s="346"/>
      <c r="R1" s="346"/>
      <c r="S1" s="346" t="str">
        <f>image("https://i.imgur.com/4cvX7w7.png",2)</f>
        <v/>
      </c>
      <c r="V1" s="12" t="str">
        <f>image("https://i.imgur.com/SFt4gRI.png",2)</f>
        <v/>
      </c>
      <c r="W1" s="346"/>
      <c r="X1" s="346"/>
      <c r="Y1" s="346" t="str">
        <f>image("https://i.imgur.com/3bc1YTD.png",2)</f>
        <v/>
      </c>
      <c r="AB1" s="12" t="str">
        <f>image("https://i.imgur.com/fg0HuKV.png",2)</f>
        <v/>
      </c>
      <c r="AC1" s="346"/>
      <c r="AD1" s="346"/>
      <c r="AE1" s="346"/>
      <c r="AF1" s="346" t="str">
        <f>image("https://i.imgur.com/luE9jT2.png",2)</f>
        <v/>
      </c>
      <c r="AI1" s="12" t="str">
        <f>image("https://i.imgur.com/vesvvn5.png",2)</f>
        <v/>
      </c>
      <c r="AJ1" s="346"/>
      <c r="AK1" s="346"/>
      <c r="AL1" s="346"/>
      <c r="AM1" s="346" t="str">
        <f>image("https://i.imgur.com/3iztAPl.png",2)</f>
        <v/>
      </c>
      <c r="AP1" s="347"/>
      <c r="AS1" s="348"/>
      <c r="AT1" s="348"/>
      <c r="AU1" s="349"/>
      <c r="AV1" s="348"/>
      <c r="AW1" s="348"/>
      <c r="AX1" s="348"/>
      <c r="AY1" s="348"/>
      <c r="AZ1" s="348"/>
      <c r="BA1" s="348"/>
      <c r="BB1" s="348"/>
    </row>
    <row r="2" ht="15.75" customHeight="1">
      <c r="B2" s="12" t="str">
        <f>image("https://i.imgur.com/dFmmAEm.png",2)</f>
        <v/>
      </c>
      <c r="C2" s="350"/>
      <c r="E2" s="351">
        <v>0.0</v>
      </c>
      <c r="F2" s="25"/>
      <c r="H2" s="350"/>
      <c r="I2" s="350"/>
      <c r="K2" s="352">
        <v>0.0</v>
      </c>
      <c r="L2" s="25"/>
      <c r="N2" s="350"/>
      <c r="O2" s="350"/>
      <c r="Q2" s="353">
        <v>0.0</v>
      </c>
      <c r="R2" s="25"/>
      <c r="T2" s="350"/>
      <c r="U2" s="350"/>
      <c r="W2" s="354">
        <v>0.0</v>
      </c>
      <c r="X2" s="25"/>
      <c r="Z2" s="350"/>
      <c r="AA2" s="350"/>
      <c r="AC2" s="355">
        <f>SUM(E2*0.01+K2*0.1+Q2+W2*10)</f>
        <v>0</v>
      </c>
      <c r="AD2" s="25"/>
      <c r="AE2" s="25"/>
      <c r="AG2" s="350"/>
      <c r="AH2" s="350"/>
      <c r="AJ2" s="355">
        <f>sum(AS6:AS25,AU6:AU25,AW6:AW25,AS29:AS49,AU29:AU49,AW29:AW49,AC2)</f>
        <v>0</v>
      </c>
      <c r="AK2" s="25"/>
      <c r="AL2" s="25"/>
      <c r="AN2" s="350"/>
      <c r="AO2" s="350"/>
      <c r="AP2" s="356"/>
      <c r="AQ2" s="4" t="str">
        <f>image("https://i.imgur.com/M2OcRIZ.png",2)</f>
        <v/>
      </c>
      <c r="AS2" s="348"/>
      <c r="AT2" s="348"/>
      <c r="AU2" s="349"/>
      <c r="AV2" s="348"/>
      <c r="AW2" s="348"/>
      <c r="AX2" s="348"/>
      <c r="AY2" s="348"/>
      <c r="AZ2" s="348"/>
      <c r="BA2" s="348"/>
      <c r="BB2" s="348"/>
    </row>
    <row r="3" ht="15.75" customHeight="1">
      <c r="C3" s="357"/>
      <c r="E3" s="31"/>
      <c r="F3" s="31"/>
      <c r="H3" s="358" t="s">
        <v>229</v>
      </c>
      <c r="I3" s="70"/>
      <c r="K3" s="31"/>
      <c r="L3" s="31"/>
      <c r="N3" s="358" t="s">
        <v>230</v>
      </c>
      <c r="O3" s="70"/>
      <c r="Q3" s="31"/>
      <c r="R3" s="31"/>
      <c r="T3" s="358" t="s">
        <v>231</v>
      </c>
      <c r="U3" s="70"/>
      <c r="W3" s="31"/>
      <c r="X3" s="31"/>
      <c r="Z3" s="358" t="s">
        <v>232</v>
      </c>
      <c r="AA3" s="70"/>
      <c r="AC3" s="31"/>
      <c r="AD3" s="31"/>
      <c r="AE3" s="31"/>
      <c r="AG3" s="358" t="s">
        <v>233</v>
      </c>
      <c r="AH3" s="70"/>
      <c r="AJ3" s="31"/>
      <c r="AK3" s="31"/>
      <c r="AL3" s="31"/>
      <c r="AN3" s="358" t="s">
        <v>234</v>
      </c>
      <c r="AO3" s="70"/>
      <c r="AP3" s="70"/>
      <c r="AS3" s="348"/>
      <c r="AT3" s="348"/>
      <c r="AU3" s="349"/>
      <c r="AV3" s="348"/>
      <c r="AW3" s="348"/>
      <c r="AX3" s="348"/>
      <c r="AY3" s="348"/>
      <c r="AZ3" s="348"/>
      <c r="BA3" s="348"/>
      <c r="BB3" s="348"/>
    </row>
    <row r="4" ht="15.75" customHeight="1">
      <c r="C4" s="359"/>
      <c r="D4" s="166"/>
      <c r="E4" s="360"/>
      <c r="F4" s="360"/>
      <c r="G4" s="166"/>
      <c r="H4" s="359"/>
      <c r="I4" s="359"/>
      <c r="J4" s="166"/>
      <c r="K4" s="360"/>
      <c r="L4" s="360"/>
      <c r="M4" s="166"/>
      <c r="N4" s="359"/>
      <c r="P4" s="166"/>
      <c r="Q4" s="360"/>
      <c r="R4" s="360"/>
      <c r="S4" s="166"/>
      <c r="T4" s="359"/>
      <c r="U4" s="359"/>
      <c r="V4" s="166"/>
      <c r="W4" s="360"/>
      <c r="X4" s="360"/>
      <c r="Y4" s="166"/>
      <c r="Z4" s="359"/>
      <c r="AA4" s="359"/>
      <c r="AB4" s="166"/>
      <c r="AC4" s="346"/>
      <c r="AD4" s="346"/>
      <c r="AE4" s="360"/>
      <c r="AF4" s="166"/>
      <c r="AG4" s="359"/>
      <c r="AH4" s="359"/>
      <c r="AI4" s="166"/>
      <c r="AJ4" s="360"/>
      <c r="AK4" s="360"/>
      <c r="AL4" s="360"/>
      <c r="AM4" s="166"/>
      <c r="AN4" s="359"/>
      <c r="AO4" s="359"/>
      <c r="AP4" s="361"/>
      <c r="AS4" s="348"/>
      <c r="AT4" s="348"/>
      <c r="AU4" s="349"/>
      <c r="AV4" s="348"/>
      <c r="AW4" s="348"/>
      <c r="AX4" s="348"/>
      <c r="AY4" s="348"/>
      <c r="AZ4" s="348"/>
      <c r="BA4" s="348" t="str">
        <f>IFERROR(__xludf.DUMMYFUNCTION("iferror(ifna(filter(substitute(transpose(split(textjoin("","",True,D6:D25,R6:R25,AF6:AF25),"","")),"" (A)"",""""),isnumber(find(""(A)"",transpose(split(textjoin("","",True,D6:D25,R6:R25,AF6:AF25),"",""))))),""""))"),"")</f>
        <v/>
      </c>
      <c r="BB4" s="348"/>
    </row>
    <row r="5" ht="15.75" customHeight="1">
      <c r="C5" s="362" t="s">
        <v>235</v>
      </c>
      <c r="D5" s="363" t="s">
        <v>236</v>
      </c>
      <c r="E5" s="166"/>
      <c r="F5" s="166"/>
      <c r="G5" s="364" t="s">
        <v>237</v>
      </c>
      <c r="H5" s="166"/>
      <c r="I5" s="166"/>
      <c r="J5" s="166"/>
      <c r="K5" s="365" t="s">
        <v>238</v>
      </c>
      <c r="L5" s="166"/>
      <c r="M5" s="366" t="s">
        <v>143</v>
      </c>
      <c r="N5" s="166"/>
      <c r="O5" s="367"/>
      <c r="P5" s="368"/>
      <c r="Q5" s="362" t="s">
        <v>235</v>
      </c>
      <c r="R5" s="363" t="s">
        <v>236</v>
      </c>
      <c r="S5" s="166"/>
      <c r="T5" s="166"/>
      <c r="U5" s="364" t="s">
        <v>239</v>
      </c>
      <c r="V5" s="166"/>
      <c r="W5" s="166"/>
      <c r="X5" s="166"/>
      <c r="Y5" s="365" t="s">
        <v>238</v>
      </c>
      <c r="Z5" s="166"/>
      <c r="AA5" s="366" t="s">
        <v>143</v>
      </c>
      <c r="AB5" s="166"/>
      <c r="AC5" s="367"/>
      <c r="AD5" s="368"/>
      <c r="AE5" s="362" t="s">
        <v>235</v>
      </c>
      <c r="AF5" s="363" t="s">
        <v>236</v>
      </c>
      <c r="AG5" s="166"/>
      <c r="AH5" s="166"/>
      <c r="AI5" s="364" t="s">
        <v>240</v>
      </c>
      <c r="AJ5" s="166"/>
      <c r="AK5" s="166"/>
      <c r="AL5" s="166"/>
      <c r="AM5" s="365" t="s">
        <v>238</v>
      </c>
      <c r="AN5" s="166"/>
      <c r="AO5" s="366" t="s">
        <v>143</v>
      </c>
      <c r="AP5" s="166"/>
      <c r="AS5" s="369" t="s">
        <v>241</v>
      </c>
      <c r="AT5" s="370" t="s">
        <v>242</v>
      </c>
      <c r="AU5" s="371" t="s">
        <v>241</v>
      </c>
      <c r="AV5" s="370" t="s">
        <v>242</v>
      </c>
      <c r="AW5" s="371" t="s">
        <v>241</v>
      </c>
      <c r="AX5" s="370" t="s">
        <v>242</v>
      </c>
      <c r="AY5" s="348"/>
      <c r="AZ5" s="348"/>
      <c r="BA5" s="348"/>
      <c r="BB5" s="348"/>
    </row>
    <row r="6" ht="15.75" customHeight="1">
      <c r="C6" s="372"/>
      <c r="D6" s="373"/>
      <c r="E6" s="74"/>
      <c r="F6" s="74"/>
      <c r="G6" s="74"/>
      <c r="H6" s="74"/>
      <c r="I6" s="74"/>
      <c r="J6" s="74"/>
      <c r="K6" s="374"/>
      <c r="L6" s="74"/>
      <c r="M6" s="375">
        <v>0.0</v>
      </c>
      <c r="N6" s="74"/>
      <c r="O6" s="376"/>
      <c r="P6" s="377"/>
      <c r="Q6" s="378"/>
      <c r="R6" s="373"/>
      <c r="S6" s="74"/>
      <c r="T6" s="74"/>
      <c r="U6" s="74"/>
      <c r="V6" s="74"/>
      <c r="W6" s="74"/>
      <c r="X6" s="74"/>
      <c r="Y6" s="374"/>
      <c r="Z6" s="74"/>
      <c r="AA6" s="375">
        <v>0.0</v>
      </c>
      <c r="AB6" s="74"/>
      <c r="AC6" s="376"/>
      <c r="AD6" s="377"/>
      <c r="AE6" s="372"/>
      <c r="AF6" s="373"/>
      <c r="AG6" s="74"/>
      <c r="AH6" s="74"/>
      <c r="AI6" s="74"/>
      <c r="AJ6" s="74"/>
      <c r="AK6" s="74"/>
      <c r="AL6" s="74"/>
      <c r="AM6" s="374"/>
      <c r="AN6" s="74"/>
      <c r="AO6" s="375">
        <v>0.0</v>
      </c>
      <c r="AP6" s="74"/>
      <c r="AS6" s="379">
        <f>IFERROR(__xludf.DUMMYFUNCTION("if(OR(and(C6="""",D6="""",K6="""",M6=""""),K6=""-""),"""",if(iferror(regexextract(text(K6,""#.##""),""[0-9]+""),"""")="""",0,if(isnumber(find(""pp"",lower(K6))),value(left(K6,find(""pp"",lower(K6))-1))*10,if(isnumber(find(""sp"",lower(K6))),value(left(K6,"&amp;"find(""sp"",lower(K6))-1))*0.1,if(isnumber(find(""gp"",lower(K6))),value(left(K6,find(""gp"",lower(K6))-1)),if(isnumber(find(""cp"",lower(K6))),value(left(K6,find(""cp"",lower(K6))-1))*0.01,K6))))*if(C6="""",1,C6)))"),0.0)</f>
        <v>0</v>
      </c>
      <c r="AT6" s="380">
        <f t="shared" ref="AT6:AT25" si="1">if(M6="-",0,if(and(C6="",D6="",K6="",M6=""),"",if(C6="",M6,C6*M6)))</f>
        <v>0</v>
      </c>
      <c r="AU6" s="379">
        <f>IFERROR(__xludf.DUMMYFUNCTION("if(OR(and(Q6="""",R6="""",Y6="""",AA6=""""),Y6=""-""),"""",if(iferror(regexextract(text(Y6,""#.##""),""[0-9]+""),"""")="""",0,if(isnumber(find(""pp"",lower(Y6))),value(left(Y6,find(""pp"",lower(Y6))-1))*10,if(isnumber(find(""sp"",lower(Y6))),value(left(Y6"&amp;",find(""sp"",lower(Y6))-1))*0.1,if(isnumber(find(""gp"",lower(Y6))),value(left(Y6,find(""gp"",lower(Y6))-1)),if(isnumber(find(""cp"",lower(Y6))),value(left(Y6,find(""cp"",lower(Y6))-1))*0.01,Y6))))*if(Q6="""",1,Q6)))"),0.0)</f>
        <v>0</v>
      </c>
      <c r="AV6" s="380">
        <f t="shared" ref="AV6:AV25" si="2">if(AA6="-",0,if(and(Q6="",R6="",Y6="",AA6=""),"",if(Q6="",AA6,Q6*AA6)))</f>
        <v>0</v>
      </c>
      <c r="AW6" s="379">
        <f>IFERROR(__xludf.DUMMYFUNCTION("if(OR(and(AE6="""",AF6="""",AM6="""",AO6=""""),AM6=""-""),"""",if(iferror(regexextract(text(AM6,""#.##""),""[0-9]+""),"""")="""",0,if(isnumber(find(""pp"",lower(AM6))),value(left(AM6,find(""pp"",lower(AM6))-1))*10,if(isnumber(find(""sp"",lower(AM6))),valu"&amp;"e(left(AM6,find(""sp"",lower(AM6))-1))*0.1,if(isnumber(find(""gp"",lower(AM6))),value(left(AM6,find(""gp"",lower(AM6))-1)),if(isnumber(find(""cp"",lower(AM6))),value(left(AM6,find(""cp"",lower(AM6))-1))*0.01,AM6))))*if(AE6="""",1,AE6)))"),0.0)</f>
        <v>0</v>
      </c>
      <c r="AX6" s="381">
        <f t="shared" ref="AX6:AX25" si="3">if(AO6="-",0,if(and(AE6="",AF6="",AM6="",AO6=""),"",if(AE6="",AO6,AE6*AO6)))</f>
        <v>0</v>
      </c>
      <c r="AY6" s="348"/>
      <c r="AZ6" s="348"/>
      <c r="BA6" s="348"/>
      <c r="BB6" s="348"/>
    </row>
    <row r="7" ht="15.75" customHeight="1">
      <c r="C7" s="372"/>
      <c r="D7" s="373"/>
      <c r="E7" s="74"/>
      <c r="F7" s="74"/>
      <c r="G7" s="74"/>
      <c r="H7" s="74"/>
      <c r="I7" s="74"/>
      <c r="J7" s="74"/>
      <c r="K7" s="374"/>
      <c r="L7" s="74"/>
      <c r="M7" s="375">
        <v>0.0</v>
      </c>
      <c r="N7" s="74"/>
      <c r="O7" s="376"/>
      <c r="P7" s="377"/>
      <c r="Q7" s="372"/>
      <c r="R7" s="373"/>
      <c r="S7" s="74"/>
      <c r="T7" s="74"/>
      <c r="U7" s="74"/>
      <c r="V7" s="74"/>
      <c r="W7" s="74"/>
      <c r="X7" s="74"/>
      <c r="Y7" s="374"/>
      <c r="Z7" s="74"/>
      <c r="AA7" s="375">
        <v>0.0</v>
      </c>
      <c r="AB7" s="74"/>
      <c r="AC7" s="382"/>
      <c r="AD7" s="377"/>
      <c r="AE7" s="378"/>
      <c r="AF7" s="383"/>
      <c r="AG7" s="74"/>
      <c r="AH7" s="74"/>
      <c r="AI7" s="74"/>
      <c r="AJ7" s="74"/>
      <c r="AK7" s="74"/>
      <c r="AL7" s="74"/>
      <c r="AM7" s="374"/>
      <c r="AN7" s="74"/>
      <c r="AO7" s="384">
        <v>0.0</v>
      </c>
      <c r="AP7" s="74"/>
      <c r="AS7" s="379">
        <f>IFERROR(__xludf.DUMMYFUNCTION("if(OR(and(C7="""",D7="""",K7="""",M7=""""),K7=""-""),"""",if(iferror(regexextract(text(K7,""#.##""),""[0-9]+""),"""")="""",0,if(isnumber(find(""pp"",lower(K7))),value(left(K7,find(""pp"",lower(K7))-1))*10,if(isnumber(find(""sp"",lower(K7))),value(left(K7,"&amp;"find(""sp"",lower(K7))-1))*0.1,if(isnumber(find(""gp"",lower(K7))),value(left(K7,find(""gp"",lower(K7))-1)),if(isnumber(find(""cp"",lower(K7))),value(left(K7,find(""cp"",lower(K7))-1))*0.01,K7))))*if(C7="""",1,C7)))"),0.0)</f>
        <v>0</v>
      </c>
      <c r="AT7" s="380">
        <f t="shared" si="1"/>
        <v>0</v>
      </c>
      <c r="AU7" s="379">
        <f>IFERROR(__xludf.DUMMYFUNCTION("if(OR(and(Q7="""",R7="""",Y7="""",AA7=""""),Y7=""-""),"""",if(iferror(regexextract(text(Y7,""#.##""),""[0-9]+""),"""")="""",0,if(isnumber(find(""pp"",lower(Y7))),value(left(Y7,find(""pp"",lower(Y7))-1))*10,if(isnumber(find(""sp"",lower(Y7))),value(left(Y7"&amp;",find(""sp"",lower(Y7))-1))*0.1,if(isnumber(find(""gp"",lower(Y7))),value(left(Y7,find(""gp"",lower(Y7))-1)),if(isnumber(find(""cp"",lower(Y7))),value(left(Y7,find(""cp"",lower(Y7))-1))*0.01,Y7))))*if(Q7="""",1,Q7)))"),0.0)</f>
        <v>0</v>
      </c>
      <c r="AV7" s="380">
        <f t="shared" si="2"/>
        <v>0</v>
      </c>
      <c r="AW7" s="379">
        <f>IFERROR(__xludf.DUMMYFUNCTION("if(OR(and(AE7="""",AF7="""",AM7="""",AO7=""""),AM7=""-""),"""",if(iferror(regexextract(text(AM7,""#.##""),""[0-9]+""),"""")="""",0,if(isnumber(find(""pp"",lower(AM7))),value(left(AM7,find(""pp"",lower(AM7))-1))*10,if(isnumber(find(""sp"",lower(AM7))),valu"&amp;"e(left(AM7,find(""sp"",lower(AM7))-1))*0.1,if(isnumber(find(""gp"",lower(AM7))),value(left(AM7,find(""gp"",lower(AM7))-1)),if(isnumber(find(""cp"",lower(AM7))),value(left(AM7,find(""cp"",lower(AM7))-1))*0.01,AM7))))*if(AE7="""",1,AE7)))"),0.0)</f>
        <v>0</v>
      </c>
      <c r="AX7" s="381">
        <f t="shared" si="3"/>
        <v>0</v>
      </c>
      <c r="AY7" s="348"/>
      <c r="AZ7" s="348"/>
      <c r="BA7" s="348"/>
      <c r="BB7" s="348"/>
    </row>
    <row r="8" ht="15.75" customHeight="1">
      <c r="C8" s="372"/>
      <c r="D8" s="373"/>
      <c r="E8" s="74"/>
      <c r="F8" s="74"/>
      <c r="G8" s="74"/>
      <c r="H8" s="74"/>
      <c r="I8" s="74"/>
      <c r="J8" s="74"/>
      <c r="K8" s="374"/>
      <c r="L8" s="74"/>
      <c r="M8" s="375">
        <v>0.0</v>
      </c>
      <c r="N8" s="74"/>
      <c r="O8" s="382"/>
      <c r="P8" s="377"/>
      <c r="Q8" s="378"/>
      <c r="R8" s="373"/>
      <c r="S8" s="74"/>
      <c r="T8" s="74"/>
      <c r="U8" s="74"/>
      <c r="V8" s="74"/>
      <c r="W8" s="74"/>
      <c r="X8" s="74"/>
      <c r="Y8" s="374"/>
      <c r="Z8" s="74"/>
      <c r="AA8" s="375">
        <v>0.0</v>
      </c>
      <c r="AB8" s="74"/>
      <c r="AC8" s="382"/>
      <c r="AD8" s="377"/>
      <c r="AE8" s="378"/>
      <c r="AF8" s="373"/>
      <c r="AG8" s="74"/>
      <c r="AH8" s="74"/>
      <c r="AI8" s="74"/>
      <c r="AJ8" s="74"/>
      <c r="AK8" s="74"/>
      <c r="AL8" s="74"/>
      <c r="AM8" s="374"/>
      <c r="AN8" s="74"/>
      <c r="AO8" s="384">
        <v>0.0</v>
      </c>
      <c r="AP8" s="74"/>
      <c r="AS8" s="379">
        <f>IFERROR(__xludf.DUMMYFUNCTION("if(OR(and(C8="""",D8="""",K8="""",M8=""""),K8=""-""),"""",if(iferror(regexextract(text(K8,""#.##""),""[0-9]+""),"""")="""",0,if(isnumber(find(""pp"",lower(K8))),value(left(K8,find(""pp"",lower(K8))-1))*10,if(isnumber(find(""sp"",lower(K8))),value(left(K8,"&amp;"find(""sp"",lower(K8))-1))*0.1,if(isnumber(find(""gp"",lower(K8))),value(left(K8,find(""gp"",lower(K8))-1)),if(isnumber(find(""cp"",lower(K8))),value(left(K8,find(""cp"",lower(K8))-1))*0.01,K8))))*if(C8="""",1,C8)))"),0.0)</f>
        <v>0</v>
      </c>
      <c r="AT8" s="380">
        <f t="shared" si="1"/>
        <v>0</v>
      </c>
      <c r="AU8" s="379">
        <f>IFERROR(__xludf.DUMMYFUNCTION("if(OR(and(Q8="""",R8="""",Y8="""",AA8=""""),Y8=""-""),"""",if(iferror(regexextract(text(Y8,""#.##""),""[0-9]+""),"""")="""",0,if(isnumber(find(""pp"",lower(Y8))),value(left(Y8,find(""pp"",lower(Y8))-1))*10,if(isnumber(find(""sp"",lower(Y8))),value(left(Y8"&amp;",find(""sp"",lower(Y8))-1))*0.1,if(isnumber(find(""gp"",lower(Y8))),value(left(Y8,find(""gp"",lower(Y8))-1)),if(isnumber(find(""cp"",lower(Y8))),value(left(Y8,find(""cp"",lower(Y8))-1))*0.01,Y8))))*if(Q8="""",1,Q8)))"),0.0)</f>
        <v>0</v>
      </c>
      <c r="AV8" s="380">
        <f t="shared" si="2"/>
        <v>0</v>
      </c>
      <c r="AW8" s="379">
        <f>IFERROR(__xludf.DUMMYFUNCTION("if(OR(and(AE8="""",AF8="""",AM8="""",AO8=""""),AM8=""-""),"""",if(iferror(regexextract(text(AM8,""#.##""),""[0-9]+""),"""")="""",0,if(isnumber(find(""pp"",lower(AM8))),value(left(AM8,find(""pp"",lower(AM8))-1))*10,if(isnumber(find(""sp"",lower(AM8))),valu"&amp;"e(left(AM8,find(""sp"",lower(AM8))-1))*0.1,if(isnumber(find(""gp"",lower(AM8))),value(left(AM8,find(""gp"",lower(AM8))-1)),if(isnumber(find(""cp"",lower(AM8))),value(left(AM8,find(""cp"",lower(AM8))-1))*0.01,AM8))))*if(AE8="""",1,AE8)))"),0.0)</f>
        <v>0</v>
      </c>
      <c r="AX8" s="381">
        <f t="shared" si="3"/>
        <v>0</v>
      </c>
      <c r="AY8" s="348"/>
      <c r="AZ8" s="348"/>
      <c r="BA8" s="348"/>
      <c r="BB8" s="348"/>
    </row>
    <row r="9" ht="15.75" customHeight="1">
      <c r="C9" s="372"/>
      <c r="D9" s="373"/>
      <c r="E9" s="74"/>
      <c r="F9" s="74"/>
      <c r="G9" s="74"/>
      <c r="H9" s="74"/>
      <c r="I9" s="74"/>
      <c r="J9" s="74"/>
      <c r="K9" s="385"/>
      <c r="L9" s="74"/>
      <c r="M9" s="375">
        <v>0.0</v>
      </c>
      <c r="N9" s="74"/>
      <c r="O9" s="376"/>
      <c r="P9" s="377"/>
      <c r="Q9" s="378"/>
      <c r="R9" s="373"/>
      <c r="S9" s="74"/>
      <c r="T9" s="74"/>
      <c r="U9" s="74"/>
      <c r="V9" s="74"/>
      <c r="W9" s="74"/>
      <c r="X9" s="74"/>
      <c r="Y9" s="385"/>
      <c r="Z9" s="74"/>
      <c r="AA9" s="375">
        <v>0.0</v>
      </c>
      <c r="AB9" s="74"/>
      <c r="AC9" s="376"/>
      <c r="AD9" s="377"/>
      <c r="AE9" s="378"/>
      <c r="AF9" s="373"/>
      <c r="AG9" s="74"/>
      <c r="AH9" s="74"/>
      <c r="AI9" s="74"/>
      <c r="AJ9" s="74"/>
      <c r="AK9" s="74"/>
      <c r="AL9" s="74"/>
      <c r="AM9" s="385"/>
      <c r="AN9" s="74"/>
      <c r="AO9" s="375">
        <v>0.0</v>
      </c>
      <c r="AP9" s="74"/>
      <c r="AS9" s="379">
        <f>IFERROR(__xludf.DUMMYFUNCTION("if(OR(and(C9="""",D9="""",K9="""",M9=""""),K9=""-""),"""",if(iferror(regexextract(text(K9,""#.##""),""[0-9]+""),"""")="""",0,if(isnumber(find(""pp"",lower(K9))),value(left(K9,find(""pp"",lower(K9))-1))*10,if(isnumber(find(""sp"",lower(K9))),value(left(K9,"&amp;"find(""sp"",lower(K9))-1))*0.1,if(isnumber(find(""gp"",lower(K9))),value(left(K9,find(""gp"",lower(K9))-1)),if(isnumber(find(""cp"",lower(K9))),value(left(K9,find(""cp"",lower(K9))-1))*0.01,K9))))*if(C9="""",1,C9)))"),0.0)</f>
        <v>0</v>
      </c>
      <c r="AT9" s="380">
        <f t="shared" si="1"/>
        <v>0</v>
      </c>
      <c r="AU9" s="379">
        <f>IFERROR(__xludf.DUMMYFUNCTION("if(OR(and(Q9="""",R9="""",Y9="""",AA9=""""),Y9=""-""),"""",if(iferror(regexextract(text(Y9,""#.##""),""[0-9]+""),"""")="""",0,if(isnumber(find(""pp"",lower(Y9))),value(left(Y9,find(""pp"",lower(Y9))-1))*10,if(isnumber(find(""sp"",lower(Y9))),value(left(Y9"&amp;",find(""sp"",lower(Y9))-1))*0.1,if(isnumber(find(""gp"",lower(Y9))),value(left(Y9,find(""gp"",lower(Y9))-1)),if(isnumber(find(""cp"",lower(Y9))),value(left(Y9,find(""cp"",lower(Y9))-1))*0.01,Y9))))*if(Q9="""",1,Q9)))"),0.0)</f>
        <v>0</v>
      </c>
      <c r="AV9" s="380">
        <f t="shared" si="2"/>
        <v>0</v>
      </c>
      <c r="AW9" s="379">
        <f>IFERROR(__xludf.DUMMYFUNCTION("if(OR(and(AE9="""",AF9="""",AM9="""",AO9=""""),AM9=""-""),"""",if(iferror(regexextract(text(AM9,""#.##""),""[0-9]+""),"""")="""",0,if(isnumber(find(""pp"",lower(AM9))),value(left(AM9,find(""pp"",lower(AM9))-1))*10,if(isnumber(find(""sp"",lower(AM9))),valu"&amp;"e(left(AM9,find(""sp"",lower(AM9))-1))*0.1,if(isnumber(find(""gp"",lower(AM9))),value(left(AM9,find(""gp"",lower(AM9))-1)),if(isnumber(find(""cp"",lower(AM9))),value(left(AM9,find(""cp"",lower(AM9))-1))*0.01,AM9))))*if(AE9="""",1,AE9)))"),0.0)</f>
        <v>0</v>
      </c>
      <c r="AX9" s="381">
        <f t="shared" si="3"/>
        <v>0</v>
      </c>
      <c r="AY9" s="348"/>
      <c r="AZ9" s="348"/>
      <c r="BA9" s="348"/>
      <c r="BB9" s="348"/>
    </row>
    <row r="10" ht="15.75" customHeight="1">
      <c r="C10" s="378"/>
      <c r="D10" s="373"/>
      <c r="E10" s="74"/>
      <c r="F10" s="74"/>
      <c r="G10" s="74"/>
      <c r="H10" s="74"/>
      <c r="I10" s="74"/>
      <c r="J10" s="74"/>
      <c r="K10" s="374"/>
      <c r="L10" s="74"/>
      <c r="M10" s="375">
        <v>0.0</v>
      </c>
      <c r="N10" s="74"/>
      <c r="O10" s="376"/>
      <c r="P10" s="377"/>
      <c r="Q10" s="378"/>
      <c r="R10" s="373"/>
      <c r="S10" s="74"/>
      <c r="T10" s="74"/>
      <c r="U10" s="74"/>
      <c r="V10" s="74"/>
      <c r="W10" s="74"/>
      <c r="X10" s="74"/>
      <c r="Y10" s="374"/>
      <c r="Z10" s="74"/>
      <c r="AA10" s="375">
        <v>0.0</v>
      </c>
      <c r="AB10" s="74"/>
      <c r="AC10" s="376"/>
      <c r="AD10" s="377"/>
      <c r="AE10" s="378"/>
      <c r="AF10" s="373"/>
      <c r="AG10" s="74"/>
      <c r="AH10" s="74"/>
      <c r="AI10" s="74"/>
      <c r="AJ10" s="74"/>
      <c r="AK10" s="74"/>
      <c r="AL10" s="74"/>
      <c r="AM10" s="374"/>
      <c r="AN10" s="74"/>
      <c r="AO10" s="375">
        <v>0.0</v>
      </c>
      <c r="AP10" s="74"/>
      <c r="AS10" s="379">
        <f>IFERROR(__xludf.DUMMYFUNCTION("if(OR(and(C10="""",D10="""",K10="""",M10=""""),K10=""-""),"""",if(iferror(regexextract(text(K10,""#.##""),""[0-9]+""),"""")="""",0,if(isnumber(find(""pp"",lower(K10))),value(left(K10,find(""pp"",lower(K10))-1))*10,if(isnumber(find(""sp"",lower(K10))),valu"&amp;"e(left(K10,find(""sp"",lower(K10))-1))*0.1,if(isnumber(find(""gp"",lower(K10))),value(left(K10,find(""gp"",lower(K10))-1)),if(isnumber(find(""cp"",lower(K10))),value(left(K10,find(""cp"",lower(K10))-1))*0.01,K10))))*if(C10="""",1,C10)))"),0.0)</f>
        <v>0</v>
      </c>
      <c r="AT10" s="380">
        <f t="shared" si="1"/>
        <v>0</v>
      </c>
      <c r="AU10" s="379">
        <f>IFERROR(__xludf.DUMMYFUNCTION("if(OR(and(Q10="""",R10="""",Y10="""",AA10=""""),Y10=""-""),"""",if(iferror(regexextract(text(Y10,""#.##""),""[0-9]+""),"""")="""",0,if(isnumber(find(""pp"",lower(Y10))),value(left(Y10,find(""pp"",lower(Y10))-1))*10,if(isnumber(find(""sp"",lower(Y10))),val"&amp;"ue(left(Y10,find(""sp"",lower(Y10))-1))*0.1,if(isnumber(find(""gp"",lower(Y10))),value(left(Y10,find(""gp"",lower(Y10))-1)),if(isnumber(find(""cp"",lower(Y10))),value(left(Y10,find(""cp"",lower(Y10))-1))*0.01,Y10))))*if(Q10="""",1,Q10)))"),0.0)</f>
        <v>0</v>
      </c>
      <c r="AV10" s="380">
        <f t="shared" si="2"/>
        <v>0</v>
      </c>
      <c r="AW10" s="379">
        <f>IFERROR(__xludf.DUMMYFUNCTION("if(OR(and(AE10="""",AF10="""",AM10="""",AO10=""""),AM10=""-""),"""",if(iferror(regexextract(text(AM10,""#.##""),""[0-9]+""),"""")="""",0,if(isnumber(find(""pp"",lower(AM10))),value(left(AM10,find(""pp"",lower(AM10))-1))*10,if(isnumber(find(""sp"",lower(AM"&amp;"10))),value(left(AM10,find(""sp"",lower(AM10))-1))*0.1,if(isnumber(find(""gp"",lower(AM10))),value(left(AM10,find(""gp"",lower(AM10))-1)),if(isnumber(find(""cp"",lower(AM10))),value(left(AM10,find(""cp"",lower(AM10))-1))*0.01,AM10))))*if(AE10="""",1,AE10)"&amp;"))"),0.0)</f>
        <v>0</v>
      </c>
      <c r="AX10" s="381">
        <f t="shared" si="3"/>
        <v>0</v>
      </c>
      <c r="AY10" s="348"/>
      <c r="AZ10" s="348"/>
      <c r="BA10" s="348"/>
      <c r="BB10" s="348"/>
    </row>
    <row r="11" ht="15.75" customHeight="1">
      <c r="C11" s="378"/>
      <c r="D11" s="373"/>
      <c r="E11" s="74"/>
      <c r="F11" s="74"/>
      <c r="G11" s="74"/>
      <c r="H11" s="74"/>
      <c r="I11" s="74"/>
      <c r="J11" s="74"/>
      <c r="K11" s="374"/>
      <c r="L11" s="74"/>
      <c r="M11" s="375">
        <v>0.0</v>
      </c>
      <c r="N11" s="74"/>
      <c r="O11" s="376"/>
      <c r="P11" s="377"/>
      <c r="Q11" s="378"/>
      <c r="R11" s="373"/>
      <c r="S11" s="74"/>
      <c r="T11" s="74"/>
      <c r="U11" s="74"/>
      <c r="V11" s="74"/>
      <c r="W11" s="74"/>
      <c r="X11" s="74"/>
      <c r="Y11" s="374"/>
      <c r="Z11" s="74"/>
      <c r="AA11" s="375">
        <v>0.0</v>
      </c>
      <c r="AB11" s="74"/>
      <c r="AC11" s="376"/>
      <c r="AD11" s="377"/>
      <c r="AE11" s="378"/>
      <c r="AF11" s="373"/>
      <c r="AG11" s="74"/>
      <c r="AH11" s="74"/>
      <c r="AI11" s="74"/>
      <c r="AJ11" s="74"/>
      <c r="AK11" s="74"/>
      <c r="AL11" s="74"/>
      <c r="AM11" s="374"/>
      <c r="AN11" s="74"/>
      <c r="AO11" s="375">
        <v>0.0</v>
      </c>
      <c r="AP11" s="74"/>
      <c r="AS11" s="379">
        <f>IFERROR(__xludf.DUMMYFUNCTION("if(OR(and(C11="""",D11="""",K11="""",M11=""""),K11=""-""),"""",if(iferror(regexextract(text(K11,""#.##""),""[0-9]+""),"""")="""",0,if(isnumber(find(""pp"",lower(K11))),value(left(K11,find(""pp"",lower(K11))-1))*10,if(isnumber(find(""sp"",lower(K11))),valu"&amp;"e(left(K11,find(""sp"",lower(K11))-1))*0.1,if(isnumber(find(""gp"",lower(K11))),value(left(K11,find(""gp"",lower(K11))-1)),if(isnumber(find(""cp"",lower(K11))),value(left(K11,find(""cp"",lower(K11))-1))*0.01,K11))))*if(C11="""",1,C11)))"),0.0)</f>
        <v>0</v>
      </c>
      <c r="AT11" s="380">
        <f t="shared" si="1"/>
        <v>0</v>
      </c>
      <c r="AU11" s="379">
        <f>IFERROR(__xludf.DUMMYFUNCTION("if(OR(and(Q11="""",R11="""",Y11="""",AA11=""""),Y11=""-""),"""",if(iferror(regexextract(text(Y11,""#.##""),""[0-9]+""),"""")="""",0,if(isnumber(find(""pp"",lower(Y11))),value(left(Y11,find(""pp"",lower(Y11))-1))*10,if(isnumber(find(""sp"",lower(Y11))),val"&amp;"ue(left(Y11,find(""sp"",lower(Y11))-1))*0.1,if(isnumber(find(""gp"",lower(Y11))),value(left(Y11,find(""gp"",lower(Y11))-1)),if(isnumber(find(""cp"",lower(Y11))),value(left(Y11,find(""cp"",lower(Y11))-1))*0.01,Y11))))*if(Q11="""",1,Q11)))"),0.0)</f>
        <v>0</v>
      </c>
      <c r="AV11" s="380">
        <f t="shared" si="2"/>
        <v>0</v>
      </c>
      <c r="AW11" s="379">
        <f>IFERROR(__xludf.DUMMYFUNCTION("if(OR(and(AE11="""",AF11="""",AM11="""",AO11=""""),AM11=""-""),"""",if(iferror(regexextract(text(AM11,""#.##""),""[0-9]+""),"""")="""",0,if(isnumber(find(""pp"",lower(AM11))),value(left(AM11,find(""pp"",lower(AM11))-1))*10,if(isnumber(find(""sp"",lower(AM"&amp;"11))),value(left(AM11,find(""sp"",lower(AM11))-1))*0.1,if(isnumber(find(""gp"",lower(AM11))),value(left(AM11,find(""gp"",lower(AM11))-1)),if(isnumber(find(""cp"",lower(AM11))),value(left(AM11,find(""cp"",lower(AM11))-1))*0.01,AM11))))*if(AE11="""",1,AE11)"&amp;"))"),0.0)</f>
        <v>0</v>
      </c>
      <c r="AX11" s="381">
        <f t="shared" si="3"/>
        <v>0</v>
      </c>
      <c r="AY11" s="348"/>
      <c r="AZ11" s="348"/>
      <c r="BA11" s="348"/>
      <c r="BB11" s="348"/>
    </row>
    <row r="12" ht="15.75" customHeight="1">
      <c r="C12" s="372"/>
      <c r="D12" s="373"/>
      <c r="E12" s="74"/>
      <c r="F12" s="74"/>
      <c r="G12" s="74"/>
      <c r="H12" s="74"/>
      <c r="I12" s="74"/>
      <c r="J12" s="74"/>
      <c r="K12" s="385"/>
      <c r="L12" s="74"/>
      <c r="M12" s="375">
        <v>0.0</v>
      </c>
      <c r="N12" s="74"/>
      <c r="O12" s="376"/>
      <c r="P12" s="377"/>
      <c r="Q12" s="378"/>
      <c r="R12" s="373"/>
      <c r="S12" s="74"/>
      <c r="T12" s="74"/>
      <c r="U12" s="74"/>
      <c r="V12" s="74"/>
      <c r="W12" s="74"/>
      <c r="X12" s="74"/>
      <c r="Y12" s="385"/>
      <c r="Z12" s="74"/>
      <c r="AA12" s="375">
        <v>0.0</v>
      </c>
      <c r="AB12" s="74"/>
      <c r="AC12" s="382"/>
      <c r="AD12" s="377"/>
      <c r="AE12" s="372"/>
      <c r="AF12" s="373"/>
      <c r="AG12" s="74"/>
      <c r="AH12" s="74"/>
      <c r="AI12" s="74"/>
      <c r="AJ12" s="74"/>
      <c r="AK12" s="74"/>
      <c r="AL12" s="74"/>
      <c r="AM12" s="385"/>
      <c r="AN12" s="74"/>
      <c r="AO12" s="375">
        <v>0.0</v>
      </c>
      <c r="AP12" s="74"/>
      <c r="AS12" s="379">
        <f>IFERROR(__xludf.DUMMYFUNCTION("if(OR(and(C12="""",D12="""",K12="""",M12=""""),K12=""-""),"""",if(iferror(regexextract(text(K12,""#.##""),""[0-9]+""),"""")="""",0,if(isnumber(find(""pp"",lower(K12))),value(left(K12,find(""pp"",lower(K12))-1))*10,if(isnumber(find(""sp"",lower(K12))),valu"&amp;"e(left(K12,find(""sp"",lower(K12))-1))*0.1,if(isnumber(find(""gp"",lower(K12))),value(left(K12,find(""gp"",lower(K12))-1)),if(isnumber(find(""cp"",lower(K12))),value(left(K12,find(""cp"",lower(K12))-1))*0.01,K12))))*if(C12="""",1,C12)))"),0.0)</f>
        <v>0</v>
      </c>
      <c r="AT12" s="380">
        <f t="shared" si="1"/>
        <v>0</v>
      </c>
      <c r="AU12" s="379">
        <f>IFERROR(__xludf.DUMMYFUNCTION("if(OR(and(Q12="""",R12="""",Y12="""",AA12=""""),Y12=""-""),"""",if(iferror(regexextract(text(Y12,""#.##""),""[0-9]+""),"""")="""",0,if(isnumber(find(""pp"",lower(Y12))),value(left(Y12,find(""pp"",lower(Y12))-1))*10,if(isnumber(find(""sp"",lower(Y12))),val"&amp;"ue(left(Y12,find(""sp"",lower(Y12))-1))*0.1,if(isnumber(find(""gp"",lower(Y12))),value(left(Y12,find(""gp"",lower(Y12))-1)),if(isnumber(find(""cp"",lower(Y12))),value(left(Y12,find(""cp"",lower(Y12))-1))*0.01,Y12))))*if(Q12="""",1,Q12)))"),0.0)</f>
        <v>0</v>
      </c>
      <c r="AV12" s="380">
        <f t="shared" si="2"/>
        <v>0</v>
      </c>
      <c r="AW12" s="379">
        <f>IFERROR(__xludf.DUMMYFUNCTION("if(OR(and(AE12="""",AF12="""",AM12="""",AO12=""""),AM12=""-""),"""",if(iferror(regexextract(text(AM12,""#.##""),""[0-9]+""),"""")="""",0,if(isnumber(find(""pp"",lower(AM12))),value(left(AM12,find(""pp"",lower(AM12))-1))*10,if(isnumber(find(""sp"",lower(AM"&amp;"12))),value(left(AM12,find(""sp"",lower(AM12))-1))*0.1,if(isnumber(find(""gp"",lower(AM12))),value(left(AM12,find(""gp"",lower(AM12))-1)),if(isnumber(find(""cp"",lower(AM12))),value(left(AM12,find(""cp"",lower(AM12))-1))*0.01,AM12))))*if(AE12="""",1,AE12)"&amp;"))"),0.0)</f>
        <v>0</v>
      </c>
      <c r="AX12" s="381">
        <f t="shared" si="3"/>
        <v>0</v>
      </c>
      <c r="AY12" s="348"/>
      <c r="AZ12" s="348"/>
      <c r="BA12" s="348"/>
      <c r="BB12" s="348"/>
    </row>
    <row r="13" ht="15.75" customHeight="1">
      <c r="C13" s="372"/>
      <c r="D13" s="373"/>
      <c r="E13" s="74"/>
      <c r="F13" s="74"/>
      <c r="G13" s="74"/>
      <c r="H13" s="74"/>
      <c r="I13" s="74"/>
      <c r="J13" s="74"/>
      <c r="K13" s="374"/>
      <c r="L13" s="74"/>
      <c r="M13" s="375">
        <v>0.0</v>
      </c>
      <c r="N13" s="74"/>
      <c r="O13" s="376"/>
      <c r="P13" s="377"/>
      <c r="Q13" s="378"/>
      <c r="R13" s="373"/>
      <c r="S13" s="74"/>
      <c r="T13" s="74"/>
      <c r="U13" s="74"/>
      <c r="V13" s="74"/>
      <c r="W13" s="74"/>
      <c r="X13" s="74"/>
      <c r="Y13" s="374"/>
      <c r="Z13" s="74"/>
      <c r="AA13" s="384">
        <v>0.0</v>
      </c>
      <c r="AB13" s="74"/>
      <c r="AC13" s="382"/>
      <c r="AD13" s="377"/>
      <c r="AE13" s="378"/>
      <c r="AF13" s="373"/>
      <c r="AG13" s="74"/>
      <c r="AH13" s="74"/>
      <c r="AI13" s="74"/>
      <c r="AJ13" s="74"/>
      <c r="AK13" s="74"/>
      <c r="AL13" s="74"/>
      <c r="AM13" s="386"/>
      <c r="AN13" s="74"/>
      <c r="AO13" s="384">
        <v>0.0</v>
      </c>
      <c r="AP13" s="74"/>
      <c r="AS13" s="379">
        <f>IFERROR(__xludf.DUMMYFUNCTION("if(OR(and(C13="""",D13="""",K13="""",M13=""""),K13=""-""),"""",if(iferror(regexextract(text(K13,""#.##""),""[0-9]+""),"""")="""",0,if(isnumber(find(""pp"",lower(K13))),value(left(K13,find(""pp"",lower(K13))-1))*10,if(isnumber(find(""sp"",lower(K13))),valu"&amp;"e(left(K13,find(""sp"",lower(K13))-1))*0.1,if(isnumber(find(""gp"",lower(K13))),value(left(K13,find(""gp"",lower(K13))-1)),if(isnumber(find(""cp"",lower(K13))),value(left(K13,find(""cp"",lower(K13))-1))*0.01,K13))))*if(C13="""",1,C13)))"),0.0)</f>
        <v>0</v>
      </c>
      <c r="AT13" s="380">
        <f t="shared" si="1"/>
        <v>0</v>
      </c>
      <c r="AU13" s="379">
        <f>IFERROR(__xludf.DUMMYFUNCTION("if(OR(and(Q13="""",R13="""",Y13="""",AA13=""""),Y13=""-""),"""",if(iferror(regexextract(text(Y13,""#.##""),""[0-9]+""),"""")="""",0,if(isnumber(find(""pp"",lower(Y13))),value(left(Y13,find(""pp"",lower(Y13))-1))*10,if(isnumber(find(""sp"",lower(Y13))),val"&amp;"ue(left(Y13,find(""sp"",lower(Y13))-1))*0.1,if(isnumber(find(""gp"",lower(Y13))),value(left(Y13,find(""gp"",lower(Y13))-1)),if(isnumber(find(""cp"",lower(Y13))),value(left(Y13,find(""cp"",lower(Y13))-1))*0.01,Y13))))*if(Q13="""",1,Q13)))"),0.0)</f>
        <v>0</v>
      </c>
      <c r="AV13" s="380">
        <f t="shared" si="2"/>
        <v>0</v>
      </c>
      <c r="AW13" s="379">
        <f>IFERROR(__xludf.DUMMYFUNCTION("if(OR(and(AE13="""",AF13="""",AM13="""",AO13=""""),AM13=""-""),"""",if(iferror(regexextract(text(AM13,""#.##""),""[0-9]+""),"""")="""",0,if(isnumber(find(""pp"",lower(AM13))),value(left(AM13,find(""pp"",lower(AM13))-1))*10,if(isnumber(find(""sp"",lower(AM"&amp;"13))),value(left(AM13,find(""sp"",lower(AM13))-1))*0.1,if(isnumber(find(""gp"",lower(AM13))),value(left(AM13,find(""gp"",lower(AM13))-1)),if(isnumber(find(""cp"",lower(AM13))),value(left(AM13,find(""cp"",lower(AM13))-1))*0.01,AM13))))*if(AE13="""",1,AE13)"&amp;"))"),0.0)</f>
        <v>0</v>
      </c>
      <c r="AX13" s="381">
        <f t="shared" si="3"/>
        <v>0</v>
      </c>
      <c r="AY13" s="348"/>
      <c r="AZ13" s="348"/>
      <c r="BA13" s="348"/>
      <c r="BB13" s="348"/>
    </row>
    <row r="14" ht="15.75" customHeight="1">
      <c r="C14" s="372"/>
      <c r="D14" s="373"/>
      <c r="E14" s="74"/>
      <c r="F14" s="74"/>
      <c r="G14" s="74"/>
      <c r="H14" s="74"/>
      <c r="I14" s="74"/>
      <c r="J14" s="74"/>
      <c r="K14" s="374"/>
      <c r="L14" s="74"/>
      <c r="M14" s="375">
        <v>0.0</v>
      </c>
      <c r="N14" s="74"/>
      <c r="O14" s="376"/>
      <c r="P14" s="377"/>
      <c r="Q14" s="378"/>
      <c r="R14" s="373"/>
      <c r="S14" s="74"/>
      <c r="T14" s="74"/>
      <c r="U14" s="74"/>
      <c r="V14" s="74"/>
      <c r="W14" s="74"/>
      <c r="X14" s="74"/>
      <c r="Y14" s="374"/>
      <c r="Z14" s="74"/>
      <c r="AA14" s="375">
        <v>0.0</v>
      </c>
      <c r="AB14" s="74"/>
      <c r="AC14" s="382"/>
      <c r="AD14" s="377"/>
      <c r="AE14" s="378"/>
      <c r="AF14" s="373"/>
      <c r="AG14" s="74"/>
      <c r="AH14" s="74"/>
      <c r="AI14" s="74"/>
      <c r="AJ14" s="74"/>
      <c r="AK14" s="74"/>
      <c r="AL14" s="74"/>
      <c r="AM14" s="374"/>
      <c r="AN14" s="74"/>
      <c r="AO14" s="375">
        <v>0.0</v>
      </c>
      <c r="AP14" s="74"/>
      <c r="AS14" s="379">
        <f>IFERROR(__xludf.DUMMYFUNCTION("if(OR(and(C14="""",D14="""",K14="""",M14=""""),K14=""-""),"""",if(iferror(regexextract(text(K14,""#.##""),""[0-9]+""),"""")="""",0,if(isnumber(find(""pp"",lower(K14))),value(left(K14,find(""pp"",lower(K14))-1))*10,if(isnumber(find(""sp"",lower(K14))),valu"&amp;"e(left(K14,find(""sp"",lower(K14))-1))*0.1,if(isnumber(find(""gp"",lower(K14))),value(left(K14,find(""gp"",lower(K14))-1)),if(isnumber(find(""cp"",lower(K14))),value(left(K14,find(""cp"",lower(K14))-1))*0.01,K14))))*if(C14="""",1,C14)))"),0.0)</f>
        <v>0</v>
      </c>
      <c r="AT14" s="380">
        <f t="shared" si="1"/>
        <v>0</v>
      </c>
      <c r="AU14" s="379">
        <f>IFERROR(__xludf.DUMMYFUNCTION("if(OR(and(Q14="""",R14="""",Y14="""",AA14=""""),Y14=""-""),"""",if(iferror(regexextract(text(Y14,""#.##""),""[0-9]+""),"""")="""",0,if(isnumber(find(""pp"",lower(Y14))),value(left(Y14,find(""pp"",lower(Y14))-1))*10,if(isnumber(find(""sp"",lower(Y14))),val"&amp;"ue(left(Y14,find(""sp"",lower(Y14))-1))*0.1,if(isnumber(find(""gp"",lower(Y14))),value(left(Y14,find(""gp"",lower(Y14))-1)),if(isnumber(find(""cp"",lower(Y14))),value(left(Y14,find(""cp"",lower(Y14))-1))*0.01,Y14))))*if(Q14="""",1,Q14)))"),0.0)</f>
        <v>0</v>
      </c>
      <c r="AV14" s="380">
        <f t="shared" si="2"/>
        <v>0</v>
      </c>
      <c r="AW14" s="379">
        <f>IFERROR(__xludf.DUMMYFUNCTION("if(OR(and(AE14="""",AF14="""",AM14="""",AO14=""""),AM14=""-""),"""",if(iferror(regexextract(text(AM14,""#.##""),""[0-9]+""),"""")="""",0,if(isnumber(find(""pp"",lower(AM14))),value(left(AM14,find(""pp"",lower(AM14))-1))*10,if(isnumber(find(""sp"",lower(AM"&amp;"14))),value(left(AM14,find(""sp"",lower(AM14))-1))*0.1,if(isnumber(find(""gp"",lower(AM14))),value(left(AM14,find(""gp"",lower(AM14))-1)),if(isnumber(find(""cp"",lower(AM14))),value(left(AM14,find(""cp"",lower(AM14))-1))*0.01,AM14))))*if(AE14="""",1,AE14)"&amp;"))"),0.0)</f>
        <v>0</v>
      </c>
      <c r="AX14" s="381">
        <f t="shared" si="3"/>
        <v>0</v>
      </c>
      <c r="AY14" s="348"/>
      <c r="AZ14" s="348"/>
      <c r="BA14" s="348"/>
      <c r="BB14" s="348"/>
    </row>
    <row r="15" ht="15.75" customHeight="1">
      <c r="C15" s="378"/>
      <c r="D15" s="373"/>
      <c r="E15" s="74"/>
      <c r="F15" s="74"/>
      <c r="G15" s="74"/>
      <c r="H15" s="74"/>
      <c r="I15" s="74"/>
      <c r="J15" s="74"/>
      <c r="K15" s="374"/>
      <c r="L15" s="74"/>
      <c r="M15" s="375">
        <v>0.0</v>
      </c>
      <c r="N15" s="74"/>
      <c r="O15" s="376"/>
      <c r="P15" s="377"/>
      <c r="Q15" s="378"/>
      <c r="R15" s="387"/>
      <c r="S15" s="74"/>
      <c r="T15" s="74"/>
      <c r="U15" s="74"/>
      <c r="V15" s="74"/>
      <c r="W15" s="74"/>
      <c r="X15" s="74"/>
      <c r="Y15" s="374"/>
      <c r="Z15" s="74"/>
      <c r="AA15" s="384">
        <v>0.0</v>
      </c>
      <c r="AB15" s="74"/>
      <c r="AC15" s="382"/>
      <c r="AD15" s="377"/>
      <c r="AE15" s="372"/>
      <c r="AF15" s="373"/>
      <c r="AG15" s="74"/>
      <c r="AH15" s="74"/>
      <c r="AI15" s="74"/>
      <c r="AJ15" s="74"/>
      <c r="AK15" s="74"/>
      <c r="AL15" s="74"/>
      <c r="AM15" s="374"/>
      <c r="AN15" s="74"/>
      <c r="AO15" s="384">
        <v>0.0</v>
      </c>
      <c r="AP15" s="74"/>
      <c r="AS15" s="379">
        <f>IFERROR(__xludf.DUMMYFUNCTION("if(OR(and(C15="""",D15="""",K15="""",M15=""""),K15=""-""),"""",if(iferror(regexextract(text(K15,""#.##""),""[0-9]+""),"""")="""",0,if(isnumber(find(""pp"",lower(K15))),value(left(K15,find(""pp"",lower(K15))-1))*10,if(isnumber(find(""sp"",lower(K15))),valu"&amp;"e(left(K15,find(""sp"",lower(K15))-1))*0.1,if(isnumber(find(""gp"",lower(K15))),value(left(K15,find(""gp"",lower(K15))-1)),if(isnumber(find(""cp"",lower(K15))),value(left(K15,find(""cp"",lower(K15))-1))*0.01,K15))))*if(C15="""",1,C15)))"),0.0)</f>
        <v>0</v>
      </c>
      <c r="AT15" s="380">
        <f t="shared" si="1"/>
        <v>0</v>
      </c>
      <c r="AU15" s="379">
        <f>IFERROR(__xludf.DUMMYFUNCTION("if(OR(and(Q15="""",R15="""",Y15="""",AA15=""""),Y15=""-""),"""",if(iferror(regexextract(text(Y15,""#.##""),""[0-9]+""),"""")="""",0,if(isnumber(find(""pp"",lower(Y15))),value(left(Y15,find(""pp"",lower(Y15))-1))*10,if(isnumber(find(""sp"",lower(Y15))),val"&amp;"ue(left(Y15,find(""sp"",lower(Y15))-1))*0.1,if(isnumber(find(""gp"",lower(Y15))),value(left(Y15,find(""gp"",lower(Y15))-1)),if(isnumber(find(""cp"",lower(Y15))),value(left(Y15,find(""cp"",lower(Y15))-1))*0.01,Y15))))*if(Q15="""",1,Q15)))"),0.0)</f>
        <v>0</v>
      </c>
      <c r="AV15" s="380">
        <f t="shared" si="2"/>
        <v>0</v>
      </c>
      <c r="AW15" s="379">
        <f>IFERROR(__xludf.DUMMYFUNCTION("if(OR(and(AE15="""",AF15="""",AM15="""",AO15=""""),AM15=""-""),"""",if(iferror(regexextract(text(AM15,""#.##""),""[0-9]+""),"""")="""",0,if(isnumber(find(""pp"",lower(AM15))),value(left(AM15,find(""pp"",lower(AM15))-1))*10,if(isnumber(find(""sp"",lower(AM"&amp;"15))),value(left(AM15,find(""sp"",lower(AM15))-1))*0.1,if(isnumber(find(""gp"",lower(AM15))),value(left(AM15,find(""gp"",lower(AM15))-1)),if(isnumber(find(""cp"",lower(AM15))),value(left(AM15,find(""cp"",lower(AM15))-1))*0.01,AM15))))*if(AE15="""",1,AE15)"&amp;"))"),0.0)</f>
        <v>0</v>
      </c>
      <c r="AX15" s="381">
        <f t="shared" si="3"/>
        <v>0</v>
      </c>
      <c r="AY15" s="348"/>
      <c r="AZ15" s="348"/>
      <c r="BA15" s="348"/>
      <c r="BB15" s="348"/>
    </row>
    <row r="16" ht="15.75" customHeight="1">
      <c r="C16" s="378"/>
      <c r="D16" s="373"/>
      <c r="E16" s="74"/>
      <c r="F16" s="74"/>
      <c r="G16" s="74"/>
      <c r="H16" s="74"/>
      <c r="I16" s="74"/>
      <c r="J16" s="74"/>
      <c r="K16" s="385"/>
      <c r="L16" s="74"/>
      <c r="M16" s="375">
        <v>0.0</v>
      </c>
      <c r="N16" s="74"/>
      <c r="O16" s="376"/>
      <c r="P16" s="377"/>
      <c r="Q16" s="378"/>
      <c r="R16" s="387"/>
      <c r="S16" s="74"/>
      <c r="T16" s="74"/>
      <c r="U16" s="74"/>
      <c r="V16" s="74"/>
      <c r="W16" s="74"/>
      <c r="X16" s="74"/>
      <c r="Y16" s="388"/>
      <c r="Z16" s="74"/>
      <c r="AA16" s="384">
        <v>0.0</v>
      </c>
      <c r="AB16" s="74"/>
      <c r="AC16" s="382"/>
      <c r="AD16" s="377"/>
      <c r="AE16" s="378"/>
      <c r="AF16" s="373"/>
      <c r="AG16" s="74"/>
      <c r="AH16" s="74"/>
      <c r="AI16" s="74"/>
      <c r="AJ16" s="74"/>
      <c r="AK16" s="74"/>
      <c r="AL16" s="74"/>
      <c r="AM16" s="385"/>
      <c r="AN16" s="74"/>
      <c r="AO16" s="375">
        <v>0.0</v>
      </c>
      <c r="AP16" s="74"/>
      <c r="AS16" s="379">
        <f>IFERROR(__xludf.DUMMYFUNCTION("if(OR(and(C16="""",D16="""",K16="""",M16=""""),K16=""-""),"""",if(iferror(regexextract(text(K16,""#.##""),""[0-9]+""),"""")="""",0,if(isnumber(find(""pp"",lower(K16))),value(left(K16,find(""pp"",lower(K16))-1))*10,if(isnumber(find(""sp"",lower(K16))),valu"&amp;"e(left(K16,find(""sp"",lower(K16))-1))*0.1,if(isnumber(find(""gp"",lower(K16))),value(left(K16,find(""gp"",lower(K16))-1)),if(isnumber(find(""cp"",lower(K16))),value(left(K16,find(""cp"",lower(K16))-1))*0.01,K16))))*if(C16="""",1,C16)))"),0.0)</f>
        <v>0</v>
      </c>
      <c r="AT16" s="380">
        <f t="shared" si="1"/>
        <v>0</v>
      </c>
      <c r="AU16" s="379">
        <f>IFERROR(__xludf.DUMMYFUNCTION("if(OR(and(Q16="""",R16="""",Y16="""",AA16=""""),Y16=""-""),"""",if(iferror(regexextract(text(Y16,""#.##""),""[0-9]+""),"""")="""",0,if(isnumber(find(""pp"",lower(Y16))),value(left(Y16,find(""pp"",lower(Y16))-1))*10,if(isnumber(find(""sp"",lower(Y16))),val"&amp;"ue(left(Y16,find(""sp"",lower(Y16))-1))*0.1,if(isnumber(find(""gp"",lower(Y16))),value(left(Y16,find(""gp"",lower(Y16))-1)),if(isnumber(find(""cp"",lower(Y16))),value(left(Y16,find(""cp"",lower(Y16))-1))*0.01,Y16))))*if(Q16="""",1,Q16)))"),0.0)</f>
        <v>0</v>
      </c>
      <c r="AV16" s="380">
        <f t="shared" si="2"/>
        <v>0</v>
      </c>
      <c r="AW16" s="379">
        <f>IFERROR(__xludf.DUMMYFUNCTION("if(OR(and(AE16="""",AF16="""",AM16="""",AO16=""""),AM16=""-""),"""",if(iferror(regexextract(text(AM16,""#.##""),""[0-9]+""),"""")="""",0,if(isnumber(find(""pp"",lower(AM16))),value(left(AM16,find(""pp"",lower(AM16))-1))*10,if(isnumber(find(""sp"",lower(AM"&amp;"16))),value(left(AM16,find(""sp"",lower(AM16))-1))*0.1,if(isnumber(find(""gp"",lower(AM16))),value(left(AM16,find(""gp"",lower(AM16))-1)),if(isnumber(find(""cp"",lower(AM16))),value(left(AM16,find(""cp"",lower(AM16))-1))*0.01,AM16))))*if(AE16="""",1,AE16)"&amp;"))"),0.0)</f>
        <v>0</v>
      </c>
      <c r="AX16" s="381">
        <f t="shared" si="3"/>
        <v>0</v>
      </c>
      <c r="AY16" s="348"/>
      <c r="AZ16" s="348"/>
      <c r="BA16" s="348"/>
      <c r="BB16" s="348"/>
    </row>
    <row r="17" ht="15.75" customHeight="1">
      <c r="C17" s="372"/>
      <c r="D17" s="373"/>
      <c r="E17" s="74"/>
      <c r="F17" s="74"/>
      <c r="G17" s="74"/>
      <c r="H17" s="74"/>
      <c r="I17" s="74"/>
      <c r="J17" s="74"/>
      <c r="K17" s="374"/>
      <c r="L17" s="74"/>
      <c r="M17" s="375">
        <v>0.0</v>
      </c>
      <c r="N17" s="74"/>
      <c r="O17" s="376"/>
      <c r="P17" s="377"/>
      <c r="Q17" s="378"/>
      <c r="R17" s="387"/>
      <c r="S17" s="74"/>
      <c r="T17" s="74"/>
      <c r="U17" s="74"/>
      <c r="V17" s="74"/>
      <c r="W17" s="74"/>
      <c r="X17" s="74"/>
      <c r="Y17" s="386"/>
      <c r="Z17" s="74"/>
      <c r="AA17" s="384">
        <v>0.0</v>
      </c>
      <c r="AB17" s="74"/>
      <c r="AC17" s="382"/>
      <c r="AD17" s="377"/>
      <c r="AE17" s="378"/>
      <c r="AF17" s="373"/>
      <c r="AG17" s="74"/>
      <c r="AH17" s="74"/>
      <c r="AI17" s="74"/>
      <c r="AJ17" s="74"/>
      <c r="AK17" s="74"/>
      <c r="AL17" s="74"/>
      <c r="AM17" s="386"/>
      <c r="AN17" s="74"/>
      <c r="AO17" s="375">
        <v>0.0</v>
      </c>
      <c r="AP17" s="74"/>
      <c r="AS17" s="379">
        <f>IFERROR(__xludf.DUMMYFUNCTION("if(OR(and(C17="""",D17="""",K17="""",M17=""""),K17=""-""),"""",if(iferror(regexextract(text(K17,""#.##""),""[0-9]+""),"""")="""",0,if(isnumber(find(""pp"",lower(K17))),value(left(K17,find(""pp"",lower(K17))-1))*10,if(isnumber(find(""sp"",lower(K17))),valu"&amp;"e(left(K17,find(""sp"",lower(K17))-1))*0.1,if(isnumber(find(""gp"",lower(K17))),value(left(K17,find(""gp"",lower(K17))-1)),if(isnumber(find(""cp"",lower(K17))),value(left(K17,find(""cp"",lower(K17))-1))*0.01,K17))))*if(C17="""",1,C17)))"),0.0)</f>
        <v>0</v>
      </c>
      <c r="AT17" s="380">
        <f t="shared" si="1"/>
        <v>0</v>
      </c>
      <c r="AU17" s="379">
        <f>IFERROR(__xludf.DUMMYFUNCTION("if(OR(and(Q17="""",R17="""",Y17="""",AA17=""""),Y17=""-""),"""",if(iferror(regexextract(text(Y17,""#.##""),""[0-9]+""),"""")="""",0,if(isnumber(find(""pp"",lower(Y17))),value(left(Y17,find(""pp"",lower(Y17))-1))*10,if(isnumber(find(""sp"",lower(Y17))),val"&amp;"ue(left(Y17,find(""sp"",lower(Y17))-1))*0.1,if(isnumber(find(""gp"",lower(Y17))),value(left(Y17,find(""gp"",lower(Y17))-1)),if(isnumber(find(""cp"",lower(Y17))),value(left(Y17,find(""cp"",lower(Y17))-1))*0.01,Y17))))*if(Q17="""",1,Q17)))"),0.0)</f>
        <v>0</v>
      </c>
      <c r="AV17" s="380">
        <f t="shared" si="2"/>
        <v>0</v>
      </c>
      <c r="AW17" s="379">
        <f>IFERROR(__xludf.DUMMYFUNCTION("if(OR(and(AE17="""",AF17="""",AM17="""",AO17=""""),AM17=""-""),"""",if(iferror(regexextract(text(AM17,""#.##""),""[0-9]+""),"""")="""",0,if(isnumber(find(""pp"",lower(AM17))),value(left(AM17,find(""pp"",lower(AM17))-1))*10,if(isnumber(find(""sp"",lower(AM"&amp;"17))),value(left(AM17,find(""sp"",lower(AM17))-1))*0.1,if(isnumber(find(""gp"",lower(AM17))),value(left(AM17,find(""gp"",lower(AM17))-1)),if(isnumber(find(""cp"",lower(AM17))),value(left(AM17,find(""cp"",lower(AM17))-1))*0.01,AM17))))*if(AE17="""",1,AE17)"&amp;"))"),0.0)</f>
        <v>0</v>
      </c>
      <c r="AX17" s="381">
        <f t="shared" si="3"/>
        <v>0</v>
      </c>
      <c r="AY17" s="348"/>
      <c r="AZ17" s="348"/>
      <c r="BA17" s="348"/>
      <c r="BB17" s="348"/>
    </row>
    <row r="18" ht="15.75" customHeight="1">
      <c r="C18" s="378"/>
      <c r="D18" s="373"/>
      <c r="E18" s="74"/>
      <c r="F18" s="74"/>
      <c r="G18" s="74"/>
      <c r="H18" s="74"/>
      <c r="I18" s="74"/>
      <c r="J18" s="74"/>
      <c r="K18" s="374"/>
      <c r="L18" s="74"/>
      <c r="M18" s="375">
        <v>0.0</v>
      </c>
      <c r="N18" s="74"/>
      <c r="O18" s="376"/>
      <c r="P18" s="377"/>
      <c r="Q18" s="378"/>
      <c r="R18" s="387"/>
      <c r="S18" s="74"/>
      <c r="T18" s="74"/>
      <c r="U18" s="74"/>
      <c r="V18" s="74"/>
      <c r="W18" s="74"/>
      <c r="X18" s="74"/>
      <c r="Y18" s="386"/>
      <c r="Z18" s="74"/>
      <c r="AA18" s="384">
        <v>0.0</v>
      </c>
      <c r="AB18" s="74"/>
      <c r="AC18" s="382"/>
      <c r="AD18" s="377"/>
      <c r="AE18" s="378"/>
      <c r="AF18" s="387"/>
      <c r="AG18" s="74"/>
      <c r="AH18" s="74"/>
      <c r="AI18" s="74"/>
      <c r="AJ18" s="74"/>
      <c r="AK18" s="74"/>
      <c r="AL18" s="74"/>
      <c r="AM18" s="386"/>
      <c r="AN18" s="74"/>
      <c r="AO18" s="384">
        <v>0.0</v>
      </c>
      <c r="AP18" s="74"/>
      <c r="AS18" s="379">
        <f>IFERROR(__xludf.DUMMYFUNCTION("if(OR(and(C18="""",D18="""",K18="""",M18=""""),K18=""-""),"""",if(iferror(regexextract(text(K18,""#.##""),""[0-9]+""),"""")="""",0,if(isnumber(find(""pp"",lower(K18))),value(left(K18,find(""pp"",lower(K18))-1))*10,if(isnumber(find(""sp"",lower(K18))),valu"&amp;"e(left(K18,find(""sp"",lower(K18))-1))*0.1,if(isnumber(find(""gp"",lower(K18))),value(left(K18,find(""gp"",lower(K18))-1)),if(isnumber(find(""cp"",lower(K18))),value(left(K18,find(""cp"",lower(K18))-1))*0.01,K18))))*if(C18="""",1,C18)))"),0.0)</f>
        <v>0</v>
      </c>
      <c r="AT18" s="380">
        <f t="shared" si="1"/>
        <v>0</v>
      </c>
      <c r="AU18" s="379">
        <f>IFERROR(__xludf.DUMMYFUNCTION("if(OR(and(Q18="""",R18="""",Y18="""",AA18=""""),Y18=""-""),"""",if(iferror(regexextract(text(Y18,""#.##""),""[0-9]+""),"""")="""",0,if(isnumber(find(""pp"",lower(Y18))),value(left(Y18,find(""pp"",lower(Y18))-1))*10,if(isnumber(find(""sp"",lower(Y18))),val"&amp;"ue(left(Y18,find(""sp"",lower(Y18))-1))*0.1,if(isnumber(find(""gp"",lower(Y18))),value(left(Y18,find(""gp"",lower(Y18))-1)),if(isnumber(find(""cp"",lower(Y18))),value(left(Y18,find(""cp"",lower(Y18))-1))*0.01,Y18))))*if(Q18="""",1,Q18)))"),0.0)</f>
        <v>0</v>
      </c>
      <c r="AV18" s="380">
        <f t="shared" si="2"/>
        <v>0</v>
      </c>
      <c r="AW18" s="379">
        <f>IFERROR(__xludf.DUMMYFUNCTION("if(OR(and(AE18="""",AF18="""",AM18="""",AO18=""""),AM18=""-""),"""",if(iferror(regexextract(text(AM18,""#.##""),""[0-9]+""),"""")="""",0,if(isnumber(find(""pp"",lower(AM18))),value(left(AM18,find(""pp"",lower(AM18))-1))*10,if(isnumber(find(""sp"",lower(AM"&amp;"18))),value(left(AM18,find(""sp"",lower(AM18))-1))*0.1,if(isnumber(find(""gp"",lower(AM18))),value(left(AM18,find(""gp"",lower(AM18))-1)),if(isnumber(find(""cp"",lower(AM18))),value(left(AM18,find(""cp"",lower(AM18))-1))*0.01,AM18))))*if(AE18="""",1,AE18)"&amp;"))"),0.0)</f>
        <v>0</v>
      </c>
      <c r="AX18" s="381">
        <f t="shared" si="3"/>
        <v>0</v>
      </c>
      <c r="AY18" s="348"/>
      <c r="AZ18" s="348"/>
      <c r="BA18" s="348"/>
      <c r="BB18" s="348"/>
    </row>
    <row r="19" ht="15.75" customHeight="1">
      <c r="C19" s="378"/>
      <c r="D19" s="373"/>
      <c r="E19" s="74"/>
      <c r="F19" s="74"/>
      <c r="G19" s="74"/>
      <c r="H19" s="74"/>
      <c r="I19" s="74"/>
      <c r="J19" s="74"/>
      <c r="K19" s="374"/>
      <c r="L19" s="74"/>
      <c r="M19" s="375">
        <v>0.0</v>
      </c>
      <c r="N19" s="74"/>
      <c r="O19" s="382"/>
      <c r="P19" s="377"/>
      <c r="Q19" s="378"/>
      <c r="R19" s="387"/>
      <c r="S19" s="74"/>
      <c r="T19" s="74"/>
      <c r="U19" s="74"/>
      <c r="V19" s="74"/>
      <c r="W19" s="74"/>
      <c r="X19" s="74"/>
      <c r="Y19" s="386"/>
      <c r="Z19" s="74"/>
      <c r="AA19" s="384">
        <v>0.0</v>
      </c>
      <c r="AB19" s="74"/>
      <c r="AC19" s="382"/>
      <c r="AD19" s="377"/>
      <c r="AE19" s="378"/>
      <c r="AF19" s="387"/>
      <c r="AG19" s="74"/>
      <c r="AH19" s="74"/>
      <c r="AI19" s="74"/>
      <c r="AJ19" s="74"/>
      <c r="AK19" s="74"/>
      <c r="AL19" s="74"/>
      <c r="AM19" s="386"/>
      <c r="AN19" s="74"/>
      <c r="AO19" s="384">
        <v>0.0</v>
      </c>
      <c r="AP19" s="74"/>
      <c r="AS19" s="379">
        <f>IFERROR(__xludf.DUMMYFUNCTION("if(OR(and(C19="""",D19="""",K19="""",M19=""""),K19=""-""),"""",if(iferror(regexextract(text(K19,""#.##""),""[0-9]+""),"""")="""",0,if(isnumber(find(""pp"",lower(K19))),value(left(K19,find(""pp"",lower(K19))-1))*10,if(isnumber(find(""sp"",lower(K19))),valu"&amp;"e(left(K19,find(""sp"",lower(K19))-1))*0.1,if(isnumber(find(""gp"",lower(K19))),value(left(K19,find(""gp"",lower(K19))-1)),if(isnumber(find(""cp"",lower(K19))),value(left(K19,find(""cp"",lower(K19))-1))*0.01,K19))))*if(C19="""",1,C19)))"),0.0)</f>
        <v>0</v>
      </c>
      <c r="AT19" s="380">
        <f t="shared" si="1"/>
        <v>0</v>
      </c>
      <c r="AU19" s="379">
        <f>IFERROR(__xludf.DUMMYFUNCTION("if(OR(and(Q19="""",R19="""",Y19="""",AA19=""""),Y19=""-""),"""",if(iferror(regexextract(text(Y19,""#.##""),""[0-9]+""),"""")="""",0,if(isnumber(find(""pp"",lower(Y19))),value(left(Y19,find(""pp"",lower(Y19))-1))*10,if(isnumber(find(""sp"",lower(Y19))),val"&amp;"ue(left(Y19,find(""sp"",lower(Y19))-1))*0.1,if(isnumber(find(""gp"",lower(Y19))),value(left(Y19,find(""gp"",lower(Y19))-1)),if(isnumber(find(""cp"",lower(Y19))),value(left(Y19,find(""cp"",lower(Y19))-1))*0.01,Y19))))*if(Q19="""",1,Q19)))"),0.0)</f>
        <v>0</v>
      </c>
      <c r="AV19" s="380">
        <f t="shared" si="2"/>
        <v>0</v>
      </c>
      <c r="AW19" s="379">
        <f>IFERROR(__xludf.DUMMYFUNCTION("if(OR(and(AE19="""",AF19="""",AM19="""",AO19=""""),AM19=""-""),"""",if(iferror(regexextract(text(AM19,""#.##""),""[0-9]+""),"""")="""",0,if(isnumber(find(""pp"",lower(AM19))),value(left(AM19,find(""pp"",lower(AM19))-1))*10,if(isnumber(find(""sp"",lower(AM"&amp;"19))),value(left(AM19,find(""sp"",lower(AM19))-1))*0.1,if(isnumber(find(""gp"",lower(AM19))),value(left(AM19,find(""gp"",lower(AM19))-1)),if(isnumber(find(""cp"",lower(AM19))),value(left(AM19,find(""cp"",lower(AM19))-1))*0.01,AM19))))*if(AE19="""",1,AE19)"&amp;"))"),0.0)</f>
        <v>0</v>
      </c>
      <c r="AX19" s="381">
        <f t="shared" si="3"/>
        <v>0</v>
      </c>
      <c r="AY19" s="348"/>
      <c r="AZ19" s="348"/>
      <c r="BA19" s="348"/>
      <c r="BB19" s="348"/>
    </row>
    <row r="20" ht="15.75" customHeight="1">
      <c r="C20" s="372"/>
      <c r="D20" s="373"/>
      <c r="E20" s="74"/>
      <c r="F20" s="74"/>
      <c r="G20" s="74"/>
      <c r="H20" s="74"/>
      <c r="I20" s="74"/>
      <c r="J20" s="74"/>
      <c r="K20" s="374"/>
      <c r="L20" s="74"/>
      <c r="M20" s="384">
        <v>0.0</v>
      </c>
      <c r="N20" s="74"/>
      <c r="O20" s="382"/>
      <c r="P20" s="377"/>
      <c r="Q20" s="378"/>
      <c r="R20" s="387"/>
      <c r="S20" s="74"/>
      <c r="T20" s="74"/>
      <c r="U20" s="74"/>
      <c r="V20" s="74"/>
      <c r="W20" s="74"/>
      <c r="X20" s="74"/>
      <c r="Y20" s="386"/>
      <c r="Z20" s="74"/>
      <c r="AA20" s="384">
        <v>0.0</v>
      </c>
      <c r="AB20" s="74"/>
      <c r="AC20" s="382"/>
      <c r="AD20" s="377"/>
      <c r="AE20" s="378"/>
      <c r="AF20" s="387"/>
      <c r="AG20" s="74"/>
      <c r="AH20" s="74"/>
      <c r="AI20" s="74"/>
      <c r="AJ20" s="74"/>
      <c r="AK20" s="74"/>
      <c r="AL20" s="74"/>
      <c r="AM20" s="386"/>
      <c r="AN20" s="74"/>
      <c r="AO20" s="384">
        <v>0.0</v>
      </c>
      <c r="AP20" s="74"/>
      <c r="AS20" s="379">
        <f>IFERROR(__xludf.DUMMYFUNCTION("if(OR(and(C20="""",D20="""",K20="""",M20=""""),K20=""-""),"""",if(iferror(regexextract(text(K20,""#.##""),""[0-9]+""),"""")="""",0,if(isnumber(find(""pp"",lower(K20))),value(left(K20,find(""pp"",lower(K20))-1))*10,if(isnumber(find(""sp"",lower(K20))),valu"&amp;"e(left(K20,find(""sp"",lower(K20))-1))*0.1,if(isnumber(find(""gp"",lower(K20))),value(left(K20,find(""gp"",lower(K20))-1)),if(isnumber(find(""cp"",lower(K20))),value(left(K20,find(""cp"",lower(K20))-1))*0.01,K20))))*if(C20="""",1,C20)))"),0.0)</f>
        <v>0</v>
      </c>
      <c r="AT20" s="380">
        <f t="shared" si="1"/>
        <v>0</v>
      </c>
      <c r="AU20" s="379">
        <f>IFERROR(__xludf.DUMMYFUNCTION("if(OR(and(Q20="""",R20="""",Y20="""",AA20=""""),Y20=""-""),"""",if(iferror(regexextract(text(Y20,""#.##""),""[0-9]+""),"""")="""",0,if(isnumber(find(""pp"",lower(Y20))),value(left(Y20,find(""pp"",lower(Y20))-1))*10,if(isnumber(find(""sp"",lower(Y20))),val"&amp;"ue(left(Y20,find(""sp"",lower(Y20))-1))*0.1,if(isnumber(find(""gp"",lower(Y20))),value(left(Y20,find(""gp"",lower(Y20))-1)),if(isnumber(find(""cp"",lower(Y20))),value(left(Y20,find(""cp"",lower(Y20))-1))*0.01,Y20))))*if(Q20="""",1,Q20)))"),0.0)</f>
        <v>0</v>
      </c>
      <c r="AV20" s="380">
        <f t="shared" si="2"/>
        <v>0</v>
      </c>
      <c r="AW20" s="379">
        <f>IFERROR(__xludf.DUMMYFUNCTION("if(OR(and(AE20="""",AF20="""",AM20="""",AO20=""""),AM20=""-""),"""",if(iferror(regexextract(text(AM20,""#.##""),""[0-9]+""),"""")="""",0,if(isnumber(find(""pp"",lower(AM20))),value(left(AM20,find(""pp"",lower(AM20))-1))*10,if(isnumber(find(""sp"",lower(AM"&amp;"20))),value(left(AM20,find(""sp"",lower(AM20))-1))*0.1,if(isnumber(find(""gp"",lower(AM20))),value(left(AM20,find(""gp"",lower(AM20))-1)),if(isnumber(find(""cp"",lower(AM20))),value(left(AM20,find(""cp"",lower(AM20))-1))*0.01,AM20))))*if(AE20="""",1,AE20)"&amp;"))"),0.0)</f>
        <v>0</v>
      </c>
      <c r="AX20" s="381">
        <f t="shared" si="3"/>
        <v>0</v>
      </c>
      <c r="AY20" s="348"/>
      <c r="AZ20" s="348"/>
      <c r="BA20" s="348"/>
      <c r="BB20" s="348"/>
    </row>
    <row r="21" ht="15.75" customHeight="1">
      <c r="C21" s="378"/>
      <c r="D21" s="373"/>
      <c r="E21" s="74"/>
      <c r="F21" s="74"/>
      <c r="G21" s="74"/>
      <c r="H21" s="74"/>
      <c r="I21" s="74"/>
      <c r="J21" s="74"/>
      <c r="K21" s="374"/>
      <c r="L21" s="74"/>
      <c r="M21" s="375">
        <v>0.0</v>
      </c>
      <c r="N21" s="74"/>
      <c r="O21" s="382"/>
      <c r="P21" s="377"/>
      <c r="Q21" s="378"/>
      <c r="R21" s="387"/>
      <c r="S21" s="74"/>
      <c r="T21" s="74"/>
      <c r="U21" s="74"/>
      <c r="V21" s="74"/>
      <c r="W21" s="74"/>
      <c r="X21" s="74"/>
      <c r="Y21" s="386"/>
      <c r="Z21" s="74"/>
      <c r="AA21" s="384">
        <v>0.0</v>
      </c>
      <c r="AB21" s="74"/>
      <c r="AC21" s="382"/>
      <c r="AD21" s="377"/>
      <c r="AE21" s="378"/>
      <c r="AF21" s="387"/>
      <c r="AG21" s="74"/>
      <c r="AH21" s="74"/>
      <c r="AI21" s="74"/>
      <c r="AJ21" s="74"/>
      <c r="AK21" s="74"/>
      <c r="AL21" s="74"/>
      <c r="AM21" s="386"/>
      <c r="AN21" s="74"/>
      <c r="AO21" s="384">
        <v>0.0</v>
      </c>
      <c r="AP21" s="74"/>
      <c r="AS21" s="379">
        <f>IFERROR(__xludf.DUMMYFUNCTION("if(OR(and(C21="""",D21="""",K21="""",M21=""""),K21=""-""),"""",if(iferror(regexextract(text(K21,""#.##""),""[0-9]+""),"""")="""",0,if(isnumber(find(""pp"",lower(K21))),value(left(K21,find(""pp"",lower(K21))-1))*10,if(isnumber(find(""sp"",lower(K21))),valu"&amp;"e(left(K21,find(""sp"",lower(K21))-1))*0.1,if(isnumber(find(""gp"",lower(K21))),value(left(K21,find(""gp"",lower(K21))-1)),if(isnumber(find(""cp"",lower(K21))),value(left(K21,find(""cp"",lower(K21))-1))*0.01,K21))))*if(C21="""",1,C21)))"),0.0)</f>
        <v>0</v>
      </c>
      <c r="AT21" s="380">
        <f t="shared" si="1"/>
        <v>0</v>
      </c>
      <c r="AU21" s="379">
        <f>IFERROR(__xludf.DUMMYFUNCTION("if(OR(and(Q21="""",R21="""",Y21="""",AA21=""""),Y21=""-""),"""",if(iferror(regexextract(text(Y21,""#.##""),""[0-9]+""),"""")="""",0,if(isnumber(find(""pp"",lower(Y21))),value(left(Y21,find(""pp"",lower(Y21))-1))*10,if(isnumber(find(""sp"",lower(Y21))),val"&amp;"ue(left(Y21,find(""sp"",lower(Y21))-1))*0.1,if(isnumber(find(""gp"",lower(Y21))),value(left(Y21,find(""gp"",lower(Y21))-1)),if(isnumber(find(""cp"",lower(Y21))),value(left(Y21,find(""cp"",lower(Y21))-1))*0.01,Y21))))*if(Q21="""",1,Q21)))"),0.0)</f>
        <v>0</v>
      </c>
      <c r="AV21" s="380">
        <f t="shared" si="2"/>
        <v>0</v>
      </c>
      <c r="AW21" s="379">
        <f>IFERROR(__xludf.DUMMYFUNCTION("if(OR(and(AE21="""",AF21="""",AM21="""",AO21=""""),AM21=""-""),"""",if(iferror(regexextract(text(AM21,""#.##""),""[0-9]+""),"""")="""",0,if(isnumber(find(""pp"",lower(AM21))),value(left(AM21,find(""pp"",lower(AM21))-1))*10,if(isnumber(find(""sp"",lower(AM"&amp;"21))),value(left(AM21,find(""sp"",lower(AM21))-1))*0.1,if(isnumber(find(""gp"",lower(AM21))),value(left(AM21,find(""gp"",lower(AM21))-1)),if(isnumber(find(""cp"",lower(AM21))),value(left(AM21,find(""cp"",lower(AM21))-1))*0.01,AM21))))*if(AE21="""",1,AE21)"&amp;"))"),0.0)</f>
        <v>0</v>
      </c>
      <c r="AX21" s="381">
        <f t="shared" si="3"/>
        <v>0</v>
      </c>
      <c r="AY21" s="348"/>
      <c r="AZ21" s="348"/>
      <c r="BA21" s="348"/>
      <c r="BB21" s="348"/>
    </row>
    <row r="22" ht="15.75" customHeight="1">
      <c r="C22" s="378"/>
      <c r="D22" s="373"/>
      <c r="E22" s="74"/>
      <c r="F22" s="74"/>
      <c r="G22" s="74"/>
      <c r="H22" s="74"/>
      <c r="I22" s="74"/>
      <c r="J22" s="74"/>
      <c r="K22" s="374"/>
      <c r="L22" s="74"/>
      <c r="M22" s="384">
        <v>0.0</v>
      </c>
      <c r="N22" s="74"/>
      <c r="O22" s="382"/>
      <c r="P22" s="377"/>
      <c r="Q22" s="378"/>
      <c r="R22" s="373"/>
      <c r="S22" s="74"/>
      <c r="T22" s="74"/>
      <c r="U22" s="74"/>
      <c r="V22" s="74"/>
      <c r="W22" s="74"/>
      <c r="X22" s="74"/>
      <c r="Y22" s="374"/>
      <c r="Z22" s="74"/>
      <c r="AA22" s="384">
        <v>0.0</v>
      </c>
      <c r="AB22" s="74"/>
      <c r="AC22" s="382"/>
      <c r="AD22" s="377"/>
      <c r="AE22" s="378"/>
      <c r="AF22" s="387"/>
      <c r="AG22" s="74"/>
      <c r="AH22" s="74"/>
      <c r="AI22" s="74"/>
      <c r="AJ22" s="74"/>
      <c r="AK22" s="74"/>
      <c r="AL22" s="74"/>
      <c r="AM22" s="386"/>
      <c r="AN22" s="74"/>
      <c r="AO22" s="384">
        <v>0.0</v>
      </c>
      <c r="AP22" s="74"/>
      <c r="AS22" s="379">
        <f>IFERROR(__xludf.DUMMYFUNCTION("if(OR(and(C22="""",D22="""",K22="""",M22=""""),K22=""-""),"""",if(iferror(regexextract(text(K22,""#.##""),""[0-9]+""),"""")="""",0,if(isnumber(find(""pp"",lower(K22))),value(left(K22,find(""pp"",lower(K22))-1))*10,if(isnumber(find(""sp"",lower(K22))),valu"&amp;"e(left(K22,find(""sp"",lower(K22))-1))*0.1,if(isnumber(find(""gp"",lower(K22))),value(left(K22,find(""gp"",lower(K22))-1)),if(isnumber(find(""cp"",lower(K22))),value(left(K22,find(""cp"",lower(K22))-1))*0.01,K22))))*if(C22="""",1,C22)))"),0.0)</f>
        <v>0</v>
      </c>
      <c r="AT22" s="380">
        <f t="shared" si="1"/>
        <v>0</v>
      </c>
      <c r="AU22" s="379">
        <f>IFERROR(__xludf.DUMMYFUNCTION("if(OR(and(Q22="""",R22="""",Y22="""",AA22=""""),Y22=""-""),"""",if(iferror(regexextract(text(Y22,""#.##""),""[0-9]+""),"""")="""",0,if(isnumber(find(""pp"",lower(Y22))),value(left(Y22,find(""pp"",lower(Y22))-1))*10,if(isnumber(find(""sp"",lower(Y22))),val"&amp;"ue(left(Y22,find(""sp"",lower(Y22))-1))*0.1,if(isnumber(find(""gp"",lower(Y22))),value(left(Y22,find(""gp"",lower(Y22))-1)),if(isnumber(find(""cp"",lower(Y22))),value(left(Y22,find(""cp"",lower(Y22))-1))*0.01,Y22))))*if(Q22="""",1,Q22)))"),0.0)</f>
        <v>0</v>
      </c>
      <c r="AV22" s="380">
        <f t="shared" si="2"/>
        <v>0</v>
      </c>
      <c r="AW22" s="379">
        <f>IFERROR(__xludf.DUMMYFUNCTION("if(OR(and(AE22="""",AF22="""",AM22="""",AO22=""""),AM22=""-""),"""",if(iferror(regexextract(text(AM22,""#.##""),""[0-9]+""),"""")="""",0,if(isnumber(find(""pp"",lower(AM22))),value(left(AM22,find(""pp"",lower(AM22))-1))*10,if(isnumber(find(""sp"",lower(AM"&amp;"22))),value(left(AM22,find(""sp"",lower(AM22))-1))*0.1,if(isnumber(find(""gp"",lower(AM22))),value(left(AM22,find(""gp"",lower(AM22))-1)),if(isnumber(find(""cp"",lower(AM22))),value(left(AM22,find(""cp"",lower(AM22))-1))*0.01,AM22))))*if(AE22="""",1,AE22)"&amp;"))"),0.0)</f>
        <v>0</v>
      </c>
      <c r="AX22" s="381">
        <f t="shared" si="3"/>
        <v>0</v>
      </c>
      <c r="AY22" s="348"/>
      <c r="AZ22" s="348"/>
      <c r="BA22" s="348"/>
      <c r="BB22" s="348"/>
    </row>
    <row r="23" ht="15.75" customHeight="1">
      <c r="C23" s="378"/>
      <c r="D23" s="373"/>
      <c r="E23" s="74"/>
      <c r="F23" s="74"/>
      <c r="G23" s="74"/>
      <c r="H23" s="74"/>
      <c r="I23" s="74"/>
      <c r="J23" s="74"/>
      <c r="K23" s="374"/>
      <c r="L23" s="74"/>
      <c r="M23" s="384">
        <v>0.0</v>
      </c>
      <c r="N23" s="74"/>
      <c r="O23" s="382"/>
      <c r="P23" s="377"/>
      <c r="Q23" s="378"/>
      <c r="R23" s="387"/>
      <c r="S23" s="74"/>
      <c r="T23" s="74"/>
      <c r="U23" s="74"/>
      <c r="V23" s="74"/>
      <c r="W23" s="74"/>
      <c r="X23" s="74"/>
      <c r="Y23" s="386"/>
      <c r="Z23" s="74"/>
      <c r="AA23" s="384">
        <v>0.0</v>
      </c>
      <c r="AB23" s="74"/>
      <c r="AC23" s="382"/>
      <c r="AD23" s="377"/>
      <c r="AE23" s="378"/>
      <c r="AF23" s="387"/>
      <c r="AG23" s="74"/>
      <c r="AH23" s="74"/>
      <c r="AI23" s="74"/>
      <c r="AJ23" s="74"/>
      <c r="AK23" s="74"/>
      <c r="AL23" s="74"/>
      <c r="AM23" s="386"/>
      <c r="AN23" s="74"/>
      <c r="AO23" s="384">
        <v>0.0</v>
      </c>
      <c r="AP23" s="74"/>
      <c r="AS23" s="379">
        <f>IFERROR(__xludf.DUMMYFUNCTION("if(OR(and(C23="""",D23="""",K23="""",M23=""""),K23=""-""),"""",if(iferror(regexextract(text(K23,""#.##""),""[0-9]+""),"""")="""",0,if(isnumber(find(""pp"",lower(K23))),value(left(K23,find(""pp"",lower(K23))-1))*10,if(isnumber(find(""sp"",lower(K23))),valu"&amp;"e(left(K23,find(""sp"",lower(K23))-1))*0.1,if(isnumber(find(""gp"",lower(K23))),value(left(K23,find(""gp"",lower(K23))-1)),if(isnumber(find(""cp"",lower(K23))),value(left(K23,find(""cp"",lower(K23))-1))*0.01,K23))))*if(C23="""",1,C23)))"),0.0)</f>
        <v>0</v>
      </c>
      <c r="AT23" s="380">
        <f t="shared" si="1"/>
        <v>0</v>
      </c>
      <c r="AU23" s="379">
        <f>IFERROR(__xludf.DUMMYFUNCTION("if(OR(and(Q23="""",R23="""",Y23="""",AA23=""""),Y23=""-""),"""",if(iferror(regexextract(text(Y23,""#.##""),""[0-9]+""),"""")="""",0,if(isnumber(find(""pp"",lower(Y23))),value(left(Y23,find(""pp"",lower(Y23))-1))*10,if(isnumber(find(""sp"",lower(Y23))),val"&amp;"ue(left(Y23,find(""sp"",lower(Y23))-1))*0.1,if(isnumber(find(""gp"",lower(Y23))),value(left(Y23,find(""gp"",lower(Y23))-1)),if(isnumber(find(""cp"",lower(Y23))),value(left(Y23,find(""cp"",lower(Y23))-1))*0.01,Y23))))*if(Q23="""",1,Q23)))"),0.0)</f>
        <v>0</v>
      </c>
      <c r="AV23" s="380">
        <f t="shared" si="2"/>
        <v>0</v>
      </c>
      <c r="AW23" s="379">
        <f>IFERROR(__xludf.DUMMYFUNCTION("if(OR(and(AE23="""",AF23="""",AM23="""",AO23=""""),AM23=""-""),"""",if(iferror(regexextract(text(AM23,""#.##""),""[0-9]+""),"""")="""",0,if(isnumber(find(""pp"",lower(AM23))),value(left(AM23,find(""pp"",lower(AM23))-1))*10,if(isnumber(find(""sp"",lower(AM"&amp;"23))),value(left(AM23,find(""sp"",lower(AM23))-1))*0.1,if(isnumber(find(""gp"",lower(AM23))),value(left(AM23,find(""gp"",lower(AM23))-1)),if(isnumber(find(""cp"",lower(AM23))),value(left(AM23,find(""cp"",lower(AM23))-1))*0.01,AM23))))*if(AE23="""",1,AE23)"&amp;"))"),0.0)</f>
        <v>0</v>
      </c>
      <c r="AX23" s="381">
        <f t="shared" si="3"/>
        <v>0</v>
      </c>
      <c r="AY23" s="348"/>
      <c r="AZ23" s="348"/>
      <c r="BA23" s="348"/>
      <c r="BB23" s="348"/>
    </row>
    <row r="24" ht="15.75" customHeight="1">
      <c r="C24" s="378"/>
      <c r="D24" s="373"/>
      <c r="E24" s="74"/>
      <c r="F24" s="74"/>
      <c r="G24" s="74"/>
      <c r="H24" s="74"/>
      <c r="I24" s="74"/>
      <c r="J24" s="74"/>
      <c r="K24" s="374"/>
      <c r="L24" s="74"/>
      <c r="M24" s="384">
        <v>0.0</v>
      </c>
      <c r="N24" s="74"/>
      <c r="O24" s="382"/>
      <c r="P24" s="377"/>
      <c r="Q24" s="378"/>
      <c r="R24" s="387"/>
      <c r="S24" s="74"/>
      <c r="T24" s="74"/>
      <c r="U24" s="74"/>
      <c r="V24" s="74"/>
      <c r="W24" s="74"/>
      <c r="X24" s="74"/>
      <c r="Y24" s="386"/>
      <c r="Z24" s="74"/>
      <c r="AA24" s="384">
        <v>0.0</v>
      </c>
      <c r="AB24" s="74"/>
      <c r="AC24" s="382"/>
      <c r="AD24" s="377"/>
      <c r="AE24" s="378"/>
      <c r="AF24" s="387"/>
      <c r="AG24" s="74"/>
      <c r="AH24" s="74"/>
      <c r="AI24" s="74"/>
      <c r="AJ24" s="74"/>
      <c r="AK24" s="74"/>
      <c r="AL24" s="74"/>
      <c r="AM24" s="386"/>
      <c r="AN24" s="74"/>
      <c r="AO24" s="384">
        <v>0.0</v>
      </c>
      <c r="AP24" s="74"/>
      <c r="AS24" s="379">
        <f>IFERROR(__xludf.DUMMYFUNCTION("if(OR(and(C24="""",D24="""",K24="""",M24=""""),K24=""-""),"""",if(iferror(regexextract(text(K24,""#.##""),""[0-9]+""),"""")="""",0,if(isnumber(find(""pp"",lower(K24))),value(left(K24,find(""pp"",lower(K24))-1))*10,if(isnumber(find(""sp"",lower(K24))),valu"&amp;"e(left(K24,find(""sp"",lower(K24))-1))*0.1,if(isnumber(find(""gp"",lower(K24))),value(left(K24,find(""gp"",lower(K24))-1)),if(isnumber(find(""cp"",lower(K24))),value(left(K24,find(""cp"",lower(K24))-1))*0.01,K24))))*if(C24="""",1,C24)))"),0.0)</f>
        <v>0</v>
      </c>
      <c r="AT24" s="380">
        <f t="shared" si="1"/>
        <v>0</v>
      </c>
      <c r="AU24" s="379">
        <f>IFERROR(__xludf.DUMMYFUNCTION("if(OR(and(Q24="""",R24="""",Y24="""",AA24=""""),Y24=""-""),"""",if(iferror(regexextract(text(Y24,""#.##""),""[0-9]+""),"""")="""",0,if(isnumber(find(""pp"",lower(Y24))),value(left(Y24,find(""pp"",lower(Y24))-1))*10,if(isnumber(find(""sp"",lower(Y24))),val"&amp;"ue(left(Y24,find(""sp"",lower(Y24))-1))*0.1,if(isnumber(find(""gp"",lower(Y24))),value(left(Y24,find(""gp"",lower(Y24))-1)),if(isnumber(find(""cp"",lower(Y24))),value(left(Y24,find(""cp"",lower(Y24))-1))*0.01,Y24))))*if(Q24="""",1,Q24)))"),0.0)</f>
        <v>0</v>
      </c>
      <c r="AV24" s="380">
        <f t="shared" si="2"/>
        <v>0</v>
      </c>
      <c r="AW24" s="379">
        <f>IFERROR(__xludf.DUMMYFUNCTION("if(OR(and(AE24="""",AF24="""",AM24="""",AO24=""""),AM24=""-""),"""",if(iferror(regexextract(text(AM24,""#.##""),""[0-9]+""),"""")="""",0,if(isnumber(find(""pp"",lower(AM24))),value(left(AM24,find(""pp"",lower(AM24))-1))*10,if(isnumber(find(""sp"",lower(AM"&amp;"24))),value(left(AM24,find(""sp"",lower(AM24))-1))*0.1,if(isnumber(find(""gp"",lower(AM24))),value(left(AM24,find(""gp"",lower(AM24))-1)),if(isnumber(find(""cp"",lower(AM24))),value(left(AM24,find(""cp"",lower(AM24))-1))*0.01,AM24))))*if(AE24="""",1,AE24)"&amp;"))"),0.0)</f>
        <v>0</v>
      </c>
      <c r="AX24" s="381">
        <f t="shared" si="3"/>
        <v>0</v>
      </c>
      <c r="AY24" s="348"/>
      <c r="AZ24" s="348"/>
      <c r="BA24" s="348"/>
      <c r="BB24" s="348"/>
    </row>
    <row r="25" ht="15.75" customHeight="1">
      <c r="C25" s="378"/>
      <c r="D25" s="373"/>
      <c r="E25" s="74"/>
      <c r="F25" s="74"/>
      <c r="G25" s="74"/>
      <c r="H25" s="74"/>
      <c r="I25" s="74"/>
      <c r="J25" s="74"/>
      <c r="K25" s="374"/>
      <c r="L25" s="74"/>
      <c r="M25" s="375">
        <v>0.0</v>
      </c>
      <c r="N25" s="74"/>
      <c r="O25" s="382"/>
      <c r="P25" s="377"/>
      <c r="Q25" s="378"/>
      <c r="R25" s="387"/>
      <c r="S25" s="74"/>
      <c r="T25" s="74"/>
      <c r="U25" s="74"/>
      <c r="V25" s="74"/>
      <c r="W25" s="74"/>
      <c r="X25" s="74"/>
      <c r="Y25" s="386"/>
      <c r="Z25" s="74"/>
      <c r="AA25" s="384">
        <v>0.0</v>
      </c>
      <c r="AB25" s="74"/>
      <c r="AC25" s="382"/>
      <c r="AD25" s="377"/>
      <c r="AE25" s="378"/>
      <c r="AF25" s="387"/>
      <c r="AG25" s="74"/>
      <c r="AH25" s="74"/>
      <c r="AI25" s="74"/>
      <c r="AJ25" s="74"/>
      <c r="AK25" s="74"/>
      <c r="AL25" s="74"/>
      <c r="AM25" s="386"/>
      <c r="AN25" s="74"/>
      <c r="AO25" s="384">
        <v>0.0</v>
      </c>
      <c r="AP25" s="74"/>
      <c r="AS25" s="389">
        <f>IFERROR(__xludf.DUMMYFUNCTION("if(OR(and(C25="""",D25="""",K25="""",M25=""""),K25=""-""),"""",if(iferror(regexextract(text(K25,""#.##""),""[0-9]+""),"""")="""",0,if(isnumber(find(""pp"",lower(K25))),value(left(K25,find(""pp"",lower(K25))-1))*10,if(isnumber(find(""sp"",lower(K25))),valu"&amp;"e(left(K25,find(""sp"",lower(K25))-1))*0.1,if(isnumber(find(""gp"",lower(K25))),value(left(K25,find(""gp"",lower(K25))-1)),if(isnumber(find(""cp"",lower(K25))),value(left(K25,find(""cp"",lower(K25))-1))*0.01,K25))))*if(C25="""",1,C25)))"),0.0)</f>
        <v>0</v>
      </c>
      <c r="AT25" s="390">
        <f t="shared" si="1"/>
        <v>0</v>
      </c>
      <c r="AU25" s="389">
        <f>IFERROR(__xludf.DUMMYFUNCTION("if(OR(and(Q25="""",R25="""",Y25="""",AA25=""""),Y25=""-""),"""",if(iferror(regexextract(text(Y25,""#.##""),""[0-9]+""),"""")="""",0,if(isnumber(find(""pp"",lower(Y25))),value(left(Y25,find(""pp"",lower(Y25))-1))*10,if(isnumber(find(""sp"",lower(Y25))),val"&amp;"ue(left(Y25,find(""sp"",lower(Y25))-1))*0.1,if(isnumber(find(""gp"",lower(Y25))),value(left(Y25,find(""gp"",lower(Y25))-1)),if(isnumber(find(""cp"",lower(Y25))),value(left(Y25,find(""cp"",lower(Y25))-1))*0.01,Y25))))*if(Q25="""",1,Q25)))"),0.0)</f>
        <v>0</v>
      </c>
      <c r="AV25" s="390">
        <f t="shared" si="2"/>
        <v>0</v>
      </c>
      <c r="AW25" s="389">
        <f>IFERROR(__xludf.DUMMYFUNCTION("if(OR(and(AE25="""",AF25="""",AM25="""",AO25=""""),AM25=""-""),"""",if(iferror(regexextract(text(AM25,""#.##""),""[0-9]+""),"""")="""",0,if(isnumber(find(""pp"",lower(AM25))),value(left(AM25,find(""pp"",lower(AM25))-1))*10,if(isnumber(find(""sp"",lower(AM"&amp;"25))),value(left(AM25,find(""sp"",lower(AM25))-1))*0.1,if(isnumber(find(""gp"",lower(AM25))),value(left(AM25,find(""gp"",lower(AM25))-1)),if(isnumber(find(""cp"",lower(AM25))),value(left(AM25,find(""cp"",lower(AM25))-1))*0.01,AM25))))*if(AE25="""",1,AE25)"&amp;"))"),0.0)</f>
        <v>0</v>
      </c>
      <c r="AX25" s="390">
        <f t="shared" si="3"/>
        <v>0</v>
      </c>
      <c r="AY25" s="348"/>
      <c r="AZ25" s="348"/>
      <c r="BA25" s="348"/>
      <c r="BB25" s="348"/>
    </row>
    <row r="26" ht="15.75" customHeight="1">
      <c r="C26" s="350"/>
      <c r="D26" s="31"/>
      <c r="E26" s="31"/>
      <c r="F26" s="31"/>
      <c r="G26" s="31"/>
      <c r="H26" s="31"/>
      <c r="I26" s="31"/>
      <c r="J26" s="31"/>
      <c r="K26" s="31"/>
      <c r="L26" s="31"/>
      <c r="M26" s="31"/>
      <c r="N26" s="31"/>
      <c r="O26" s="31"/>
      <c r="P26" s="391" t="s">
        <v>243</v>
      </c>
      <c r="Q26" s="31"/>
      <c r="R26" s="31"/>
      <c r="S26" s="31"/>
      <c r="T26" s="31"/>
      <c r="U26" s="31"/>
      <c r="V26" s="31"/>
      <c r="W26" s="31"/>
      <c r="X26" s="31"/>
      <c r="Y26" s="31"/>
      <c r="Z26" s="31"/>
      <c r="AA26" s="31"/>
      <c r="AB26" s="31"/>
      <c r="AC26" s="31"/>
      <c r="AD26" s="392">
        <f>sum(AT6:AT25,AV6:AV25,AX6:AX25,AT30:AT49,AV30:AV49,AX30:AX49)+sum(E2,K2,Q2,W2,AC2)*0.02</f>
        <v>0</v>
      </c>
      <c r="AE26" s="31"/>
      <c r="AF26" s="31"/>
      <c r="AG26" s="31"/>
      <c r="AH26" s="31"/>
      <c r="AI26" s="31"/>
      <c r="AJ26" s="393" t="s">
        <v>244</v>
      </c>
      <c r="AK26" s="394" t="str">
        <f>if(strength="-","-",strength*15*(if(isnumber(find("powerful build",lower(concatenate(v2.1!C59:AC84)))),2,1)))</f>
        <v>-</v>
      </c>
      <c r="AL26" s="31"/>
      <c r="AM26" s="31"/>
      <c r="AN26" s="31"/>
      <c r="AO26" s="31"/>
      <c r="AP26" s="31"/>
      <c r="AS26" s="348"/>
      <c r="AT26" s="395"/>
      <c r="AU26" s="349"/>
      <c r="AV26" s="395"/>
      <c r="AW26" s="348"/>
      <c r="AX26" s="348"/>
      <c r="AY26" s="348"/>
      <c r="AZ26" s="348"/>
      <c r="BA26" s="348"/>
      <c r="BB26" s="348"/>
    </row>
    <row r="27" ht="15.75" customHeight="1">
      <c r="C27" s="12"/>
      <c r="D27" s="347"/>
      <c r="E27" s="347"/>
      <c r="F27" s="347"/>
      <c r="G27" s="347"/>
      <c r="I27" s="347"/>
      <c r="J27" s="347"/>
      <c r="K27" s="347"/>
      <c r="L27" s="347"/>
      <c r="M27" s="347"/>
      <c r="N27" s="347"/>
      <c r="O27" s="12"/>
      <c r="P27" s="347"/>
      <c r="Q27" s="347"/>
      <c r="R27" s="347"/>
      <c r="S27" s="347"/>
      <c r="T27" s="347"/>
      <c r="U27" s="347"/>
      <c r="V27" s="347"/>
      <c r="W27" s="347"/>
      <c r="X27" s="347"/>
      <c r="Y27" s="347"/>
      <c r="Z27" s="347"/>
      <c r="AA27" s="347"/>
      <c r="AB27" s="347"/>
      <c r="AC27" s="347"/>
      <c r="AD27" s="346"/>
      <c r="AE27" s="347"/>
      <c r="AF27" s="347"/>
      <c r="AG27" s="347"/>
      <c r="AH27" s="347"/>
      <c r="AI27" s="347"/>
      <c r="AJ27" s="347"/>
      <c r="AK27" s="347"/>
      <c r="AL27" s="347"/>
      <c r="AM27" s="347"/>
      <c r="AN27" s="347"/>
      <c r="AO27" s="347"/>
      <c r="AP27" s="347"/>
      <c r="AS27" s="348"/>
      <c r="AT27" s="395"/>
      <c r="AU27" s="349"/>
      <c r="AV27" s="395"/>
      <c r="AW27" s="348"/>
      <c r="AX27" s="348"/>
      <c r="AY27" s="348"/>
      <c r="AZ27" s="348"/>
      <c r="BA27" s="348"/>
      <c r="BB27" s="348"/>
    </row>
    <row r="28" ht="15.75" customHeight="1">
      <c r="B28" s="12" t="str">
        <f>image("https://i.imgur.com/dFmmAEm.png",2)</f>
        <v/>
      </c>
      <c r="C28" s="396"/>
      <c r="D28" s="356"/>
      <c r="E28" s="356"/>
      <c r="F28" s="356"/>
      <c r="G28" s="356"/>
      <c r="H28" s="350"/>
      <c r="I28" s="356"/>
      <c r="J28" s="356"/>
      <c r="K28" s="356"/>
      <c r="L28" s="356"/>
      <c r="M28" s="356"/>
      <c r="N28" s="356"/>
      <c r="O28" s="396"/>
      <c r="P28" s="397"/>
      <c r="Q28" s="397"/>
      <c r="R28" s="397"/>
      <c r="S28" s="397"/>
      <c r="T28" s="397"/>
      <c r="U28" s="397"/>
      <c r="V28" s="397"/>
      <c r="W28" s="397"/>
      <c r="X28" s="397"/>
      <c r="Y28" s="397"/>
      <c r="Z28" s="397"/>
      <c r="AA28" s="397"/>
      <c r="AB28" s="397"/>
      <c r="AC28" s="397"/>
      <c r="AD28" s="398"/>
      <c r="AE28" s="356"/>
      <c r="AF28" s="356"/>
      <c r="AG28" s="356"/>
      <c r="AH28" s="356"/>
      <c r="AI28" s="356"/>
      <c r="AJ28" s="356"/>
      <c r="AK28" s="356"/>
      <c r="AL28" s="356"/>
      <c r="AM28" s="356"/>
      <c r="AN28" s="356"/>
      <c r="AO28" s="356"/>
      <c r="AP28" s="356"/>
      <c r="AQ28" s="4" t="str">
        <f>image("https://i.imgur.com/M2OcRIZ.png",2)</f>
        <v/>
      </c>
      <c r="AS28" s="348"/>
      <c r="AT28" s="395"/>
      <c r="AU28" s="349"/>
      <c r="AV28" s="395"/>
      <c r="AW28" s="348"/>
      <c r="AX28" s="348"/>
      <c r="AY28" s="348"/>
      <c r="AZ28" s="348"/>
      <c r="BA28" s="348"/>
      <c r="BB28" s="348"/>
    </row>
    <row r="29" ht="15.75" customHeight="1">
      <c r="C29" s="399" t="s">
        <v>235</v>
      </c>
      <c r="D29" s="400" t="s">
        <v>236</v>
      </c>
      <c r="E29" s="74"/>
      <c r="F29" s="74"/>
      <c r="G29" s="401"/>
      <c r="H29" s="74"/>
      <c r="I29" s="74"/>
      <c r="J29" s="74"/>
      <c r="K29" s="402" t="s">
        <v>238</v>
      </c>
      <c r="L29" s="74"/>
      <c r="M29" s="403" t="s">
        <v>143</v>
      </c>
      <c r="N29" s="74"/>
      <c r="O29" s="367"/>
      <c r="P29" s="368"/>
      <c r="Q29" s="399" t="s">
        <v>235</v>
      </c>
      <c r="R29" s="400" t="s">
        <v>236</v>
      </c>
      <c r="S29" s="74"/>
      <c r="T29" s="74"/>
      <c r="U29" s="401"/>
      <c r="V29" s="74"/>
      <c r="W29" s="74"/>
      <c r="X29" s="74"/>
      <c r="Y29" s="402" t="s">
        <v>238</v>
      </c>
      <c r="Z29" s="74"/>
      <c r="AA29" s="403" t="s">
        <v>143</v>
      </c>
      <c r="AB29" s="74"/>
      <c r="AC29" s="367"/>
      <c r="AD29" s="368"/>
      <c r="AE29" s="399" t="s">
        <v>235</v>
      </c>
      <c r="AF29" s="400" t="s">
        <v>236</v>
      </c>
      <c r="AG29" s="74"/>
      <c r="AH29" s="74"/>
      <c r="AI29" s="404"/>
      <c r="AJ29" s="74"/>
      <c r="AK29" s="74"/>
      <c r="AL29" s="74"/>
      <c r="AM29" s="402" t="s">
        <v>238</v>
      </c>
      <c r="AN29" s="74"/>
      <c r="AO29" s="403" t="s">
        <v>143</v>
      </c>
      <c r="AP29" s="74"/>
      <c r="AS29" s="369" t="s">
        <v>241</v>
      </c>
      <c r="AT29" s="370" t="s">
        <v>242</v>
      </c>
      <c r="AU29" s="371" t="s">
        <v>241</v>
      </c>
      <c r="AV29" s="370" t="s">
        <v>242</v>
      </c>
      <c r="AW29" s="371" t="s">
        <v>241</v>
      </c>
      <c r="AX29" s="370" t="s">
        <v>242</v>
      </c>
      <c r="AY29" s="348"/>
      <c r="AZ29" s="348"/>
      <c r="BA29" s="348"/>
      <c r="BB29" s="348"/>
    </row>
    <row r="30" ht="15.75" customHeight="1">
      <c r="C30" s="372"/>
      <c r="D30" s="373"/>
      <c r="E30" s="74"/>
      <c r="F30" s="74"/>
      <c r="G30" s="74"/>
      <c r="H30" s="74"/>
      <c r="I30" s="74"/>
      <c r="J30" s="74"/>
      <c r="K30" s="374"/>
      <c r="L30" s="74"/>
      <c r="M30" s="375">
        <v>0.0</v>
      </c>
      <c r="N30" s="74"/>
      <c r="O30" s="382"/>
      <c r="P30" s="377"/>
      <c r="Q30" s="378"/>
      <c r="R30" s="373"/>
      <c r="S30" s="74"/>
      <c r="T30" s="74"/>
      <c r="U30" s="74"/>
      <c r="V30" s="74"/>
      <c r="W30" s="74"/>
      <c r="X30" s="74"/>
      <c r="Y30" s="374"/>
      <c r="Z30" s="74"/>
      <c r="AA30" s="375">
        <v>0.0</v>
      </c>
      <c r="AB30" s="74"/>
      <c r="AC30" s="382"/>
      <c r="AD30" s="377"/>
      <c r="AE30" s="372"/>
      <c r="AF30" s="373"/>
      <c r="AG30" s="74"/>
      <c r="AH30" s="74"/>
      <c r="AI30" s="74"/>
      <c r="AJ30" s="74"/>
      <c r="AK30" s="74"/>
      <c r="AL30" s="74"/>
      <c r="AM30" s="374"/>
      <c r="AN30" s="74"/>
      <c r="AO30" s="384">
        <v>0.0</v>
      </c>
      <c r="AP30" s="74"/>
      <c r="AS30" s="379">
        <f>IFERROR(__xludf.DUMMYFUNCTION("if(OR(and(C30="""",D30="""",K30="""",M30=""""),K30=""-""),"""",if(iferror(regexextract(text(K30,""#.##""),""[0-9]+""),"""")="""",0,if(isnumber(find(""pp"",lower(K30))),value(left(K30,find(""pp"",lower(K30))-1))*10,if(isnumber(find(""sp"",lower(K30))),valu"&amp;"e(left(K30,find(""sp"",lower(K30))-1))*0.1,if(isnumber(find(""gp"",lower(K30))),value(left(K30,find(""gp"",lower(K30))-1)),if(isnumber(find(""cp"",lower(K30))),value(left(K30,find(""cp"",lower(K30))-1))*0.01,K30))))*if(C30="""",1,C30)))"),0.0)</f>
        <v>0</v>
      </c>
      <c r="AT30" s="380">
        <f t="shared" ref="AT30:AT51" si="4">if(M30="-",0,if(and(C30="",D30="",K30="",M30=""),"",if(C30="",M30,C30*M30)))</f>
        <v>0</v>
      </c>
      <c r="AU30" s="379">
        <f>IFERROR(__xludf.DUMMYFUNCTION("if(OR(and(Q30="""",R30="""",Y30="""",AA30=""""),Y30=""-""),"""",if(iferror(regexextract(text(Y30,""#.##""),""[0-9]+""),"""")="""",0,if(isnumber(find(""pp"",lower(Y30))),value(left(Y30,find(""pp"",lower(Y30))-1))*10,if(isnumber(find(""sp"",lower(Y30))),val"&amp;"ue(left(Y30,find(""sp"",lower(Y30))-1))*0.1,if(isnumber(find(""gp"",lower(Y30))),value(left(Y30,find(""gp"",lower(Y30))-1)),if(isnumber(find(""cp"",lower(Y30))),value(left(Y30,find(""cp"",lower(Y30))-1))*0.01,Y30))))*if(Q30="""",1,Q30)))"),0.0)</f>
        <v>0</v>
      </c>
      <c r="AV30" s="380">
        <f t="shared" ref="AV30:AV51" si="5">if(AA30="-",0,if(and(Q30="",R30="",Y30="",AA30=""),"",if(Q30="",AA30,Q30*AA30)))</f>
        <v>0</v>
      </c>
      <c r="AW30" s="379">
        <f>IFERROR(__xludf.DUMMYFUNCTION("if(OR(and(AE30="""",AF30="""",AM30="""",AO30=""""),AM30=""-""),"""",if(iferror(regexextract(text(AM30,""#.##""),""[0-9]+""),"""")="""",0,if(isnumber(find(""pp"",lower(AM30))),value(left(AM30,find(""pp"",lower(AM30))-1))*10,if(isnumber(find(""sp"",lower(AM"&amp;"30))),value(left(AM30,find(""sp"",lower(AM30))-1))*0.1,if(isnumber(find(""gp"",lower(AM30))),value(left(AM30,find(""gp"",lower(AM30))-1)),if(isnumber(find(""cp"",lower(AM30))),value(left(AM30,find(""cp"",lower(AM30))-1))*0.01,AM30))))*if(AE30="""",1,AE30)"&amp;"))"),0.0)</f>
        <v>0</v>
      </c>
      <c r="AX30" s="381">
        <f t="shared" ref="AX30:AX51" si="6">if(AO30="-",0,if(and(AE30="",AF30="",AM30="",AO30=""),"",if(AE30="",AO30,AE30*AO30)))</f>
        <v>0</v>
      </c>
      <c r="AY30" s="348"/>
      <c r="AZ30" s="348"/>
      <c r="BA30" s="348"/>
      <c r="BB30" s="348"/>
    </row>
    <row r="31" ht="15.75" customHeight="1">
      <c r="C31" s="372"/>
      <c r="D31" s="373"/>
      <c r="E31" s="74"/>
      <c r="F31" s="74"/>
      <c r="G31" s="74"/>
      <c r="H31" s="74"/>
      <c r="I31" s="74"/>
      <c r="J31" s="74"/>
      <c r="K31" s="385"/>
      <c r="L31" s="74"/>
      <c r="M31" s="375">
        <v>0.0</v>
      </c>
      <c r="N31" s="74"/>
      <c r="O31" s="376"/>
      <c r="P31" s="377"/>
      <c r="Q31" s="378"/>
      <c r="R31" s="373"/>
      <c r="S31" s="74"/>
      <c r="T31" s="74"/>
      <c r="U31" s="74"/>
      <c r="V31" s="74"/>
      <c r="W31" s="74"/>
      <c r="X31" s="74"/>
      <c r="Y31" s="385"/>
      <c r="Z31" s="74"/>
      <c r="AA31" s="375">
        <v>0.0</v>
      </c>
      <c r="AB31" s="74"/>
      <c r="AC31" s="376"/>
      <c r="AD31" s="377"/>
      <c r="AE31" s="378"/>
      <c r="AF31" s="373"/>
      <c r="AG31" s="74"/>
      <c r="AH31" s="74"/>
      <c r="AI31" s="74"/>
      <c r="AJ31" s="74"/>
      <c r="AK31" s="74"/>
      <c r="AL31" s="74"/>
      <c r="AM31" s="385"/>
      <c r="AN31" s="74"/>
      <c r="AO31" s="375">
        <v>0.0</v>
      </c>
      <c r="AP31" s="74"/>
      <c r="AS31" s="379">
        <f>IFERROR(__xludf.DUMMYFUNCTION("if(OR(and(C31="""",D31="""",K31="""",M31=""""),K31=""-""),"""",if(iferror(regexextract(text(K31,""#.##""),""[0-9]+""),"""")="""",0,if(isnumber(find(""pp"",lower(K31))),value(left(K31,find(""pp"",lower(K31))-1))*10,if(isnumber(find(""sp"",lower(K31))),valu"&amp;"e(left(K31,find(""sp"",lower(K31))-1))*0.1,if(isnumber(find(""gp"",lower(K31))),value(left(K31,find(""gp"",lower(K31))-1)),if(isnumber(find(""cp"",lower(K31))),value(left(K31,find(""cp"",lower(K31))-1))*0.01,K31))))*if(C31="""",1,C31)))"),0.0)</f>
        <v>0</v>
      </c>
      <c r="AT31" s="380">
        <f t="shared" si="4"/>
        <v>0</v>
      </c>
      <c r="AU31" s="379">
        <f>IFERROR(__xludf.DUMMYFUNCTION("if(OR(and(Q31="""",R31="""",Y31="""",AA31=""""),Y31=""-""),"""",if(iferror(regexextract(text(Y31,""#.##""),""[0-9]+""),"""")="""",0,if(isnumber(find(""pp"",lower(Y31))),value(left(Y31,find(""pp"",lower(Y31))-1))*10,if(isnumber(find(""sp"",lower(Y31))),val"&amp;"ue(left(Y31,find(""sp"",lower(Y31))-1))*0.1,if(isnumber(find(""gp"",lower(Y31))),value(left(Y31,find(""gp"",lower(Y31))-1)),if(isnumber(find(""cp"",lower(Y31))),value(left(Y31,find(""cp"",lower(Y31))-1))*0.01,Y31))))*if(Q31="""",1,Q31)))"),0.0)</f>
        <v>0</v>
      </c>
      <c r="AV31" s="380">
        <f t="shared" si="5"/>
        <v>0</v>
      </c>
      <c r="AW31" s="379">
        <f>IFERROR(__xludf.DUMMYFUNCTION("if(OR(and(AE31="""",AF31="""",AM31="""",AO31=""""),AM31=""-""),"""",if(iferror(regexextract(text(AM31,""#.##""),""[0-9]+""),"""")="""",0,if(isnumber(find(""pp"",lower(AM31))),value(left(AM31,find(""pp"",lower(AM31))-1))*10,if(isnumber(find(""sp"",lower(AM"&amp;"31))),value(left(AM31,find(""sp"",lower(AM31))-1))*0.1,if(isnumber(find(""gp"",lower(AM31))),value(left(AM31,find(""gp"",lower(AM31))-1)),if(isnumber(find(""cp"",lower(AM31))),value(left(AM31,find(""cp"",lower(AM31))-1))*0.01,AM31))))*if(AE31="""",1,AE31)"&amp;"))"),0.0)</f>
        <v>0</v>
      </c>
      <c r="AX31" s="381">
        <f t="shared" si="6"/>
        <v>0</v>
      </c>
      <c r="AY31" s="348"/>
      <c r="AZ31" s="348"/>
      <c r="BA31" s="348"/>
      <c r="BB31" s="348"/>
    </row>
    <row r="32" ht="15.75" customHeight="1">
      <c r="C32" s="378"/>
      <c r="D32" s="373"/>
      <c r="E32" s="74"/>
      <c r="F32" s="74"/>
      <c r="G32" s="74"/>
      <c r="H32" s="74"/>
      <c r="I32" s="74"/>
      <c r="J32" s="74"/>
      <c r="K32" s="374"/>
      <c r="L32" s="74"/>
      <c r="M32" s="375">
        <v>0.0</v>
      </c>
      <c r="N32" s="74"/>
      <c r="O32" s="376"/>
      <c r="P32" s="377"/>
      <c r="Q32" s="378"/>
      <c r="R32" s="383"/>
      <c r="S32" s="74"/>
      <c r="T32" s="74"/>
      <c r="U32" s="74"/>
      <c r="V32" s="74"/>
      <c r="W32" s="74"/>
      <c r="X32" s="74"/>
      <c r="Y32" s="374"/>
      <c r="Z32" s="74"/>
      <c r="AA32" s="375">
        <v>0.0</v>
      </c>
      <c r="AB32" s="74"/>
      <c r="AC32" s="376"/>
      <c r="AD32" s="377"/>
      <c r="AE32" s="378"/>
      <c r="AF32" s="373"/>
      <c r="AG32" s="74"/>
      <c r="AH32" s="74"/>
      <c r="AI32" s="74"/>
      <c r="AJ32" s="74"/>
      <c r="AK32" s="74"/>
      <c r="AL32" s="74"/>
      <c r="AM32" s="374"/>
      <c r="AN32" s="74"/>
      <c r="AO32" s="375">
        <v>0.0</v>
      </c>
      <c r="AP32" s="74"/>
      <c r="AS32" s="379">
        <f>IFERROR(__xludf.DUMMYFUNCTION("if(OR(and(C32="""",D32="""",K32="""",M32=""""),K32=""-""),"""",if(iferror(regexextract(text(K32,""#.##""),""[0-9]+""),"""")="""",0,if(isnumber(find(""pp"",lower(K32))),value(left(K32,find(""pp"",lower(K32))-1))*10,if(isnumber(find(""sp"",lower(K32))),valu"&amp;"e(left(K32,find(""sp"",lower(K32))-1))*0.1,if(isnumber(find(""gp"",lower(K32))),value(left(K32,find(""gp"",lower(K32))-1)),if(isnumber(find(""cp"",lower(K32))),value(left(K32,find(""cp"",lower(K32))-1))*0.01,K32))))*if(C32="""",1,C32)))"),0.0)</f>
        <v>0</v>
      </c>
      <c r="AT32" s="380">
        <f t="shared" si="4"/>
        <v>0</v>
      </c>
      <c r="AU32" s="379">
        <f>IFERROR(__xludf.DUMMYFUNCTION("if(OR(and(Q32="""",R32="""",Y32="""",AA32=""""),Y32=""-""),"""",if(iferror(regexextract(text(Y32,""#.##""),""[0-9]+""),"""")="""",0,if(isnumber(find(""pp"",lower(Y32))),value(left(Y32,find(""pp"",lower(Y32))-1))*10,if(isnumber(find(""sp"",lower(Y32))),val"&amp;"ue(left(Y32,find(""sp"",lower(Y32))-1))*0.1,if(isnumber(find(""gp"",lower(Y32))),value(left(Y32,find(""gp"",lower(Y32))-1)),if(isnumber(find(""cp"",lower(Y32))),value(left(Y32,find(""cp"",lower(Y32))-1))*0.01,Y32))))*if(Q32="""",1,Q32)))"),0.0)</f>
        <v>0</v>
      </c>
      <c r="AV32" s="380">
        <f t="shared" si="5"/>
        <v>0</v>
      </c>
      <c r="AW32" s="379">
        <f>IFERROR(__xludf.DUMMYFUNCTION("if(OR(and(AE32="""",AF32="""",AM32="""",AO32=""""),AM32=""-""),"""",if(iferror(regexextract(text(AM32,""#.##""),""[0-9]+""),"""")="""",0,if(isnumber(find(""pp"",lower(AM32))),value(left(AM32,find(""pp"",lower(AM32))-1))*10,if(isnumber(find(""sp"",lower(AM"&amp;"32))),value(left(AM32,find(""sp"",lower(AM32))-1))*0.1,if(isnumber(find(""gp"",lower(AM32))),value(left(AM32,find(""gp"",lower(AM32))-1)),if(isnumber(find(""cp"",lower(AM32))),value(left(AM32,find(""cp"",lower(AM32))-1))*0.01,AM32))))*if(AE32="""",1,AE32)"&amp;"))"),0.0)</f>
        <v>0</v>
      </c>
      <c r="AX32" s="381">
        <f t="shared" si="6"/>
        <v>0</v>
      </c>
      <c r="AY32" s="348"/>
      <c r="AZ32" s="348"/>
      <c r="BA32" s="348"/>
      <c r="BB32" s="348"/>
    </row>
    <row r="33" ht="15.75" customHeight="1">
      <c r="C33" s="378"/>
      <c r="D33" s="373"/>
      <c r="E33" s="74"/>
      <c r="F33" s="74"/>
      <c r="G33" s="74"/>
      <c r="H33" s="74"/>
      <c r="I33" s="74"/>
      <c r="J33" s="74"/>
      <c r="K33" s="374"/>
      <c r="L33" s="74"/>
      <c r="M33" s="375">
        <v>0.0</v>
      </c>
      <c r="N33" s="74"/>
      <c r="O33" s="376"/>
      <c r="P33" s="377"/>
      <c r="Q33" s="378"/>
      <c r="R33" s="373"/>
      <c r="S33" s="74"/>
      <c r="T33" s="74"/>
      <c r="U33" s="74"/>
      <c r="V33" s="74"/>
      <c r="W33" s="74"/>
      <c r="X33" s="74"/>
      <c r="Y33" s="374"/>
      <c r="Z33" s="74"/>
      <c r="AA33" s="375">
        <v>0.0</v>
      </c>
      <c r="AB33" s="74"/>
      <c r="AC33" s="376"/>
      <c r="AD33" s="377"/>
      <c r="AE33" s="378"/>
      <c r="AF33" s="373"/>
      <c r="AG33" s="74"/>
      <c r="AH33" s="74"/>
      <c r="AI33" s="74"/>
      <c r="AJ33" s="74"/>
      <c r="AK33" s="74"/>
      <c r="AL33" s="74"/>
      <c r="AM33" s="374"/>
      <c r="AN33" s="74"/>
      <c r="AO33" s="375">
        <v>0.0</v>
      </c>
      <c r="AP33" s="74"/>
      <c r="AS33" s="379">
        <f>IFERROR(__xludf.DUMMYFUNCTION("if(OR(and(C33="""",D33="""",K33="""",M33=""""),K33=""-""),"""",if(iferror(regexextract(text(K33,""#.##""),""[0-9]+""),"""")="""",0,if(isnumber(find(""pp"",lower(K33))),value(left(K33,find(""pp"",lower(K33))-1))*10,if(isnumber(find(""sp"",lower(K33))),valu"&amp;"e(left(K33,find(""sp"",lower(K33))-1))*0.1,if(isnumber(find(""gp"",lower(K33))),value(left(K33,find(""gp"",lower(K33))-1)),if(isnumber(find(""cp"",lower(K33))),value(left(K33,find(""cp"",lower(K33))-1))*0.01,K33))))*if(C33="""",1,C33)))"),0.0)</f>
        <v>0</v>
      </c>
      <c r="AT33" s="380">
        <f t="shared" si="4"/>
        <v>0</v>
      </c>
      <c r="AU33" s="379">
        <f>IFERROR(__xludf.DUMMYFUNCTION("if(OR(and(Q33="""",R33="""",Y33="""",AA33=""""),Y33=""-""),"""",if(iferror(regexextract(text(Y33,""#.##""),""[0-9]+""),"""")="""",0,if(isnumber(find(""pp"",lower(Y33))),value(left(Y33,find(""pp"",lower(Y33))-1))*10,if(isnumber(find(""sp"",lower(Y33))),val"&amp;"ue(left(Y33,find(""sp"",lower(Y33))-1))*0.1,if(isnumber(find(""gp"",lower(Y33))),value(left(Y33,find(""gp"",lower(Y33))-1)),if(isnumber(find(""cp"",lower(Y33))),value(left(Y33,find(""cp"",lower(Y33))-1))*0.01,Y33))))*if(Q33="""",1,Q33)))"),0.0)</f>
        <v>0</v>
      </c>
      <c r="AV33" s="380">
        <f t="shared" si="5"/>
        <v>0</v>
      </c>
      <c r="AW33" s="379">
        <f>IFERROR(__xludf.DUMMYFUNCTION("if(OR(and(AE33="""",AF33="""",AM33="""",AO33=""""),AM33=""-""),"""",if(iferror(regexextract(text(AM33,""#.##""),""[0-9]+""),"""")="""",0,if(isnumber(find(""pp"",lower(AM33))),value(left(AM33,find(""pp"",lower(AM33))-1))*10,if(isnumber(find(""sp"",lower(AM"&amp;"33))),value(left(AM33,find(""sp"",lower(AM33))-1))*0.1,if(isnumber(find(""gp"",lower(AM33))),value(left(AM33,find(""gp"",lower(AM33))-1)),if(isnumber(find(""cp"",lower(AM33))),value(left(AM33,find(""cp"",lower(AM33))-1))*0.01,AM33))))*if(AE33="""",1,AE33)"&amp;"))"),0.0)</f>
        <v>0</v>
      </c>
      <c r="AX33" s="381">
        <f t="shared" si="6"/>
        <v>0</v>
      </c>
      <c r="AY33" s="348"/>
      <c r="AZ33" s="348"/>
      <c r="BA33" s="348"/>
      <c r="BB33" s="348"/>
    </row>
    <row r="34" ht="15.75" customHeight="1">
      <c r="C34" s="378"/>
      <c r="D34" s="373"/>
      <c r="E34" s="74"/>
      <c r="F34" s="74"/>
      <c r="G34" s="74"/>
      <c r="H34" s="74"/>
      <c r="I34" s="74"/>
      <c r="J34" s="74"/>
      <c r="K34" s="385"/>
      <c r="L34" s="74"/>
      <c r="M34" s="375">
        <v>0.0</v>
      </c>
      <c r="N34" s="74"/>
      <c r="O34" s="376"/>
      <c r="P34" s="377"/>
      <c r="Q34" s="378"/>
      <c r="R34" s="373"/>
      <c r="S34" s="74"/>
      <c r="T34" s="74"/>
      <c r="U34" s="74"/>
      <c r="V34" s="74"/>
      <c r="W34" s="74"/>
      <c r="X34" s="74"/>
      <c r="Y34" s="385"/>
      <c r="Z34" s="74"/>
      <c r="AA34" s="375">
        <v>0.0</v>
      </c>
      <c r="AB34" s="74"/>
      <c r="AC34" s="382"/>
      <c r="AD34" s="377"/>
      <c r="AE34" s="372"/>
      <c r="AF34" s="373"/>
      <c r="AG34" s="74"/>
      <c r="AH34" s="74"/>
      <c r="AI34" s="74"/>
      <c r="AJ34" s="74"/>
      <c r="AK34" s="74"/>
      <c r="AL34" s="74"/>
      <c r="AM34" s="385"/>
      <c r="AN34" s="74"/>
      <c r="AO34" s="375">
        <v>0.0</v>
      </c>
      <c r="AP34" s="74"/>
      <c r="AS34" s="379">
        <f>IFERROR(__xludf.DUMMYFUNCTION("if(OR(and(C34="""",D34="""",K34="""",M34=""""),K34=""-""),"""",if(iferror(regexextract(text(K34,""#.##""),""[0-9]+""),"""")="""",0,if(isnumber(find(""pp"",lower(K34))),value(left(K34,find(""pp"",lower(K34))-1))*10,if(isnumber(find(""sp"",lower(K34))),valu"&amp;"e(left(K34,find(""sp"",lower(K34))-1))*0.1,if(isnumber(find(""gp"",lower(K34))),value(left(K34,find(""gp"",lower(K34))-1)),if(isnumber(find(""cp"",lower(K34))),value(left(K34,find(""cp"",lower(K34))-1))*0.01,K34))))*if(C34="""",1,C34)))"),0.0)</f>
        <v>0</v>
      </c>
      <c r="AT34" s="380">
        <f t="shared" si="4"/>
        <v>0</v>
      </c>
      <c r="AU34" s="379">
        <f>IFERROR(__xludf.DUMMYFUNCTION("if(OR(and(Q34="""",R34="""",Y34="""",AA34=""""),Y34=""-""),"""",if(iferror(regexextract(text(Y34,""#.##""),""[0-9]+""),"""")="""",0,if(isnumber(find(""pp"",lower(Y34))),value(left(Y34,find(""pp"",lower(Y34))-1))*10,if(isnumber(find(""sp"",lower(Y34))),val"&amp;"ue(left(Y34,find(""sp"",lower(Y34))-1))*0.1,if(isnumber(find(""gp"",lower(Y34))),value(left(Y34,find(""gp"",lower(Y34))-1)),if(isnumber(find(""cp"",lower(Y34))),value(left(Y34,find(""cp"",lower(Y34))-1))*0.01,Y34))))*if(Q34="""",1,Q34)))"),0.0)</f>
        <v>0</v>
      </c>
      <c r="AV34" s="380">
        <f t="shared" si="5"/>
        <v>0</v>
      </c>
      <c r="AW34" s="379">
        <f>IFERROR(__xludf.DUMMYFUNCTION("if(OR(and(AE34="""",AF34="""",AM34="""",AO34=""""),AM34=""-""),"""",if(iferror(regexextract(text(AM34,""#.##""),""[0-9]+""),"""")="""",0,if(isnumber(find(""pp"",lower(AM34))),value(left(AM34,find(""pp"",lower(AM34))-1))*10,if(isnumber(find(""sp"",lower(AM"&amp;"34))),value(left(AM34,find(""sp"",lower(AM34))-1))*0.1,if(isnumber(find(""gp"",lower(AM34))),value(left(AM34,find(""gp"",lower(AM34))-1)),if(isnumber(find(""cp"",lower(AM34))),value(left(AM34,find(""cp"",lower(AM34))-1))*0.01,AM34))))*if(AE34="""",1,AE34)"&amp;"))"),0.0)</f>
        <v>0</v>
      </c>
      <c r="AX34" s="381">
        <f t="shared" si="6"/>
        <v>0</v>
      </c>
      <c r="AY34" s="348"/>
      <c r="AZ34" s="348"/>
      <c r="BA34" s="348"/>
      <c r="BB34" s="348"/>
    </row>
    <row r="35" ht="15.75" customHeight="1">
      <c r="C35" s="372"/>
      <c r="D35" s="373"/>
      <c r="E35" s="74"/>
      <c r="F35" s="74"/>
      <c r="G35" s="74"/>
      <c r="H35" s="74"/>
      <c r="I35" s="74"/>
      <c r="J35" s="74"/>
      <c r="K35" s="374"/>
      <c r="L35" s="74"/>
      <c r="M35" s="375">
        <v>0.0</v>
      </c>
      <c r="N35" s="74"/>
      <c r="O35" s="376"/>
      <c r="P35" s="377"/>
      <c r="Q35" s="378"/>
      <c r="R35" s="373"/>
      <c r="S35" s="74"/>
      <c r="T35" s="74"/>
      <c r="U35" s="74"/>
      <c r="V35" s="74"/>
      <c r="W35" s="74"/>
      <c r="X35" s="74"/>
      <c r="Y35" s="374"/>
      <c r="Z35" s="74"/>
      <c r="AA35" s="384">
        <v>0.0</v>
      </c>
      <c r="AB35" s="74"/>
      <c r="AC35" s="382"/>
      <c r="AD35" s="377"/>
      <c r="AE35" s="378"/>
      <c r="AF35" s="373"/>
      <c r="AG35" s="74"/>
      <c r="AH35" s="74"/>
      <c r="AI35" s="74"/>
      <c r="AJ35" s="74"/>
      <c r="AK35" s="74"/>
      <c r="AL35" s="74"/>
      <c r="AM35" s="386"/>
      <c r="AN35" s="74"/>
      <c r="AO35" s="384">
        <v>0.0</v>
      </c>
      <c r="AP35" s="74"/>
      <c r="AS35" s="379">
        <f>IFERROR(__xludf.DUMMYFUNCTION("if(OR(and(C35="""",D35="""",K35="""",M35=""""),K35=""-""),"""",if(iferror(regexextract(text(K35,""#.##""),""[0-9]+""),"""")="""",0,if(isnumber(find(""pp"",lower(K35))),value(left(K35,find(""pp"",lower(K35))-1))*10,if(isnumber(find(""sp"",lower(K35))),valu"&amp;"e(left(K35,find(""sp"",lower(K35))-1))*0.1,if(isnumber(find(""gp"",lower(K35))),value(left(K35,find(""gp"",lower(K35))-1)),if(isnumber(find(""cp"",lower(K35))),value(left(K35,find(""cp"",lower(K35))-1))*0.01,K35))))*if(C35="""",1,C35)))"),0.0)</f>
        <v>0</v>
      </c>
      <c r="AT35" s="380">
        <f t="shared" si="4"/>
        <v>0</v>
      </c>
      <c r="AU35" s="379">
        <f>IFERROR(__xludf.DUMMYFUNCTION("if(OR(and(Q35="""",R35="""",Y35="""",AA35=""""),Y35=""-""),"""",if(iferror(regexextract(text(Y35,""#.##""),""[0-9]+""),"""")="""",0,if(isnumber(find(""pp"",lower(Y35))),value(left(Y35,find(""pp"",lower(Y35))-1))*10,if(isnumber(find(""sp"",lower(Y35))),val"&amp;"ue(left(Y35,find(""sp"",lower(Y35))-1))*0.1,if(isnumber(find(""gp"",lower(Y35))),value(left(Y35,find(""gp"",lower(Y35))-1)),if(isnumber(find(""cp"",lower(Y35))),value(left(Y35,find(""cp"",lower(Y35))-1))*0.01,Y35))))*if(Q35="""",1,Q35)))"),0.0)</f>
        <v>0</v>
      </c>
      <c r="AV35" s="380">
        <f t="shared" si="5"/>
        <v>0</v>
      </c>
      <c r="AW35" s="379">
        <f>IFERROR(__xludf.DUMMYFUNCTION("if(OR(and(AE35="""",AF35="""",AM35="""",AO35=""""),AM35=""-""),"""",if(iferror(regexextract(text(AM35,""#.##""),""[0-9]+""),"""")="""",0,if(isnumber(find(""pp"",lower(AM35))),value(left(AM35,find(""pp"",lower(AM35))-1))*10,if(isnumber(find(""sp"",lower(AM"&amp;"35))),value(left(AM35,find(""sp"",lower(AM35))-1))*0.1,if(isnumber(find(""gp"",lower(AM35))),value(left(AM35,find(""gp"",lower(AM35))-1)),if(isnumber(find(""cp"",lower(AM35))),value(left(AM35,find(""cp"",lower(AM35))-1))*0.01,AM35))))*if(AE35="""",1,AE35)"&amp;"))"),0.0)</f>
        <v>0</v>
      </c>
      <c r="AX35" s="381">
        <f t="shared" si="6"/>
        <v>0</v>
      </c>
      <c r="AY35" s="348"/>
      <c r="AZ35" s="348"/>
      <c r="BA35" s="348"/>
      <c r="BB35" s="348"/>
    </row>
    <row r="36" ht="15.75" customHeight="1">
      <c r="C36" s="372"/>
      <c r="D36" s="373"/>
      <c r="E36" s="74"/>
      <c r="F36" s="74"/>
      <c r="G36" s="74"/>
      <c r="H36" s="74"/>
      <c r="I36" s="74"/>
      <c r="J36" s="74"/>
      <c r="K36" s="374"/>
      <c r="L36" s="74"/>
      <c r="M36" s="375">
        <v>0.0</v>
      </c>
      <c r="N36" s="74"/>
      <c r="O36" s="376"/>
      <c r="P36" s="377"/>
      <c r="Q36" s="378"/>
      <c r="R36" s="387"/>
      <c r="S36" s="74"/>
      <c r="T36" s="74"/>
      <c r="U36" s="74"/>
      <c r="V36" s="74"/>
      <c r="W36" s="74"/>
      <c r="X36" s="74"/>
      <c r="Y36" s="386"/>
      <c r="Z36" s="74"/>
      <c r="AA36" s="375">
        <v>0.0</v>
      </c>
      <c r="AB36" s="74"/>
      <c r="AC36" s="382"/>
      <c r="AD36" s="377"/>
      <c r="AE36" s="378"/>
      <c r="AF36" s="373"/>
      <c r="AG36" s="74"/>
      <c r="AH36" s="74"/>
      <c r="AI36" s="74"/>
      <c r="AJ36" s="74"/>
      <c r="AK36" s="74"/>
      <c r="AL36" s="74"/>
      <c r="AM36" s="374"/>
      <c r="AN36" s="74"/>
      <c r="AO36" s="375">
        <v>0.0</v>
      </c>
      <c r="AP36" s="74"/>
      <c r="AS36" s="379">
        <f>IFERROR(__xludf.DUMMYFUNCTION("if(OR(and(C36="""",D36="""",K36="""",M36=""""),K36=""-""),"""",if(iferror(regexextract(text(K36,""#.##""),""[0-9]+""),"""")="""",0,if(isnumber(find(""pp"",lower(K36))),value(left(K36,find(""pp"",lower(K36))-1))*10,if(isnumber(find(""sp"",lower(K36))),valu"&amp;"e(left(K36,find(""sp"",lower(K36))-1))*0.1,if(isnumber(find(""gp"",lower(K36))),value(left(K36,find(""gp"",lower(K36))-1)),if(isnumber(find(""cp"",lower(K36))),value(left(K36,find(""cp"",lower(K36))-1))*0.01,K36))))*if(C36="""",1,C36)))"),0.0)</f>
        <v>0</v>
      </c>
      <c r="AT36" s="380">
        <f t="shared" si="4"/>
        <v>0</v>
      </c>
      <c r="AU36" s="379">
        <f>IFERROR(__xludf.DUMMYFUNCTION("if(OR(and(Q36="""",R36="""",Y36="""",AA36=""""),Y36=""-""),"""",if(iferror(regexextract(text(Y36,""#.##""),""[0-9]+""),"""")="""",0,if(isnumber(find(""pp"",lower(Y36))),value(left(Y36,find(""pp"",lower(Y36))-1))*10,if(isnumber(find(""sp"",lower(Y36))),val"&amp;"ue(left(Y36,find(""sp"",lower(Y36))-1))*0.1,if(isnumber(find(""gp"",lower(Y36))),value(left(Y36,find(""gp"",lower(Y36))-1)),if(isnumber(find(""cp"",lower(Y36))),value(left(Y36,find(""cp"",lower(Y36))-1))*0.01,Y36))))*if(Q36="""",1,Q36)))"),0.0)</f>
        <v>0</v>
      </c>
      <c r="AV36" s="380">
        <f t="shared" si="5"/>
        <v>0</v>
      </c>
      <c r="AW36" s="379">
        <f>IFERROR(__xludf.DUMMYFUNCTION("if(OR(and(AE36="""",AF36="""",AM36="""",AO36=""""),AM36=""-""),"""",if(iferror(regexextract(text(AM36,""#.##""),""[0-9]+""),"""")="""",0,if(isnumber(find(""pp"",lower(AM36))),value(left(AM36,find(""pp"",lower(AM36))-1))*10,if(isnumber(find(""sp"",lower(AM"&amp;"36))),value(left(AM36,find(""sp"",lower(AM36))-1))*0.1,if(isnumber(find(""gp"",lower(AM36))),value(left(AM36,find(""gp"",lower(AM36))-1)),if(isnumber(find(""cp"",lower(AM36))),value(left(AM36,find(""cp"",lower(AM36))-1))*0.01,AM36))))*if(AE36="""",1,AE36)"&amp;"))"),0.0)</f>
        <v>0</v>
      </c>
      <c r="AX36" s="381">
        <f t="shared" si="6"/>
        <v>0</v>
      </c>
      <c r="AY36" s="348"/>
      <c r="AZ36" s="348"/>
      <c r="BA36" s="348"/>
      <c r="BB36" s="348"/>
    </row>
    <row r="37" ht="15.75" customHeight="1">
      <c r="C37" s="378"/>
      <c r="D37" s="373"/>
      <c r="E37" s="74"/>
      <c r="F37" s="74"/>
      <c r="G37" s="74"/>
      <c r="H37" s="74"/>
      <c r="I37" s="74"/>
      <c r="J37" s="74"/>
      <c r="K37" s="374"/>
      <c r="L37" s="74"/>
      <c r="M37" s="375">
        <v>0.0</v>
      </c>
      <c r="N37" s="74"/>
      <c r="O37" s="376"/>
      <c r="P37" s="377"/>
      <c r="Q37" s="378"/>
      <c r="R37" s="387"/>
      <c r="S37" s="74"/>
      <c r="T37" s="74"/>
      <c r="U37" s="74"/>
      <c r="V37" s="74"/>
      <c r="W37" s="74"/>
      <c r="X37" s="74"/>
      <c r="Y37" s="374"/>
      <c r="Z37" s="74"/>
      <c r="AA37" s="384">
        <v>0.0</v>
      </c>
      <c r="AB37" s="74"/>
      <c r="AC37" s="382"/>
      <c r="AD37" s="377"/>
      <c r="AE37" s="372"/>
      <c r="AF37" s="373"/>
      <c r="AG37" s="74"/>
      <c r="AH37" s="74"/>
      <c r="AI37" s="74"/>
      <c r="AJ37" s="74"/>
      <c r="AK37" s="74"/>
      <c r="AL37" s="74"/>
      <c r="AM37" s="374"/>
      <c r="AN37" s="74"/>
      <c r="AO37" s="384">
        <v>0.0</v>
      </c>
      <c r="AP37" s="74"/>
      <c r="AS37" s="379">
        <f>IFERROR(__xludf.DUMMYFUNCTION("if(OR(and(C37="""",D37="""",K37="""",M37=""""),K37=""-""),"""",if(iferror(regexextract(text(K37,""#.##""),""[0-9]+""),"""")="""",0,if(isnumber(find(""pp"",lower(K37))),value(left(K37,find(""pp"",lower(K37))-1))*10,if(isnumber(find(""sp"",lower(K37))),valu"&amp;"e(left(K37,find(""sp"",lower(K37))-1))*0.1,if(isnumber(find(""gp"",lower(K37))),value(left(K37,find(""gp"",lower(K37))-1)),if(isnumber(find(""cp"",lower(K37))),value(left(K37,find(""cp"",lower(K37))-1))*0.01,K37))))*if(C37="""",1,C37)))"),0.0)</f>
        <v>0</v>
      </c>
      <c r="AT37" s="380">
        <f t="shared" si="4"/>
        <v>0</v>
      </c>
      <c r="AU37" s="379">
        <f>IFERROR(__xludf.DUMMYFUNCTION("if(OR(and(Q37="""",R37="""",Y37="""",AA37=""""),Y37=""-""),"""",if(iferror(regexextract(text(Y37,""#.##""),""[0-9]+""),"""")="""",0,if(isnumber(find(""pp"",lower(Y37))),value(left(Y37,find(""pp"",lower(Y37))-1))*10,if(isnumber(find(""sp"",lower(Y37))),val"&amp;"ue(left(Y37,find(""sp"",lower(Y37))-1))*0.1,if(isnumber(find(""gp"",lower(Y37))),value(left(Y37,find(""gp"",lower(Y37))-1)),if(isnumber(find(""cp"",lower(Y37))),value(left(Y37,find(""cp"",lower(Y37))-1))*0.01,Y37))))*if(Q37="""",1,Q37)))"),0.0)</f>
        <v>0</v>
      </c>
      <c r="AV37" s="380">
        <f t="shared" si="5"/>
        <v>0</v>
      </c>
      <c r="AW37" s="379">
        <f>IFERROR(__xludf.DUMMYFUNCTION("if(OR(and(AE37="""",AF37="""",AM37="""",AO37=""""),AM37=""-""),"""",if(iferror(regexextract(text(AM37,""#.##""),""[0-9]+""),"""")="""",0,if(isnumber(find(""pp"",lower(AM37))),value(left(AM37,find(""pp"",lower(AM37))-1))*10,if(isnumber(find(""sp"",lower(AM"&amp;"37))),value(left(AM37,find(""sp"",lower(AM37))-1))*0.1,if(isnumber(find(""gp"",lower(AM37))),value(left(AM37,find(""gp"",lower(AM37))-1)),if(isnumber(find(""cp"",lower(AM37))),value(left(AM37,find(""cp"",lower(AM37))-1))*0.01,AM37))))*if(AE37="""",1,AE37)"&amp;"))"),0.0)</f>
        <v>0</v>
      </c>
      <c r="AX37" s="381">
        <f t="shared" si="6"/>
        <v>0</v>
      </c>
      <c r="AY37" s="348"/>
      <c r="AZ37" s="348"/>
      <c r="BA37" s="348"/>
      <c r="BB37" s="348"/>
    </row>
    <row r="38" ht="15.75" customHeight="1">
      <c r="C38" s="378"/>
      <c r="D38" s="373"/>
      <c r="E38" s="74"/>
      <c r="F38" s="74"/>
      <c r="G38" s="74"/>
      <c r="H38" s="74"/>
      <c r="I38" s="74"/>
      <c r="J38" s="74"/>
      <c r="K38" s="385"/>
      <c r="L38" s="74"/>
      <c r="M38" s="375">
        <v>0.0</v>
      </c>
      <c r="N38" s="74"/>
      <c r="O38" s="376"/>
      <c r="P38" s="377"/>
      <c r="Q38" s="378"/>
      <c r="R38" s="387"/>
      <c r="S38" s="74"/>
      <c r="T38" s="74"/>
      <c r="U38" s="74"/>
      <c r="V38" s="74"/>
      <c r="W38" s="74"/>
      <c r="X38" s="74"/>
      <c r="Y38" s="388"/>
      <c r="Z38" s="74"/>
      <c r="AA38" s="384">
        <v>0.0</v>
      </c>
      <c r="AB38" s="74"/>
      <c r="AC38" s="382"/>
      <c r="AD38" s="377"/>
      <c r="AE38" s="378"/>
      <c r="AF38" s="373"/>
      <c r="AG38" s="74"/>
      <c r="AH38" s="74"/>
      <c r="AI38" s="74"/>
      <c r="AJ38" s="74"/>
      <c r="AK38" s="74"/>
      <c r="AL38" s="74"/>
      <c r="AM38" s="385"/>
      <c r="AN38" s="74"/>
      <c r="AO38" s="375">
        <v>0.0</v>
      </c>
      <c r="AP38" s="74"/>
      <c r="AS38" s="379">
        <f>IFERROR(__xludf.DUMMYFUNCTION("if(OR(and(C38="""",D38="""",K38="""",M38=""""),K38=""-""),"""",if(iferror(regexextract(text(K38,""#.##""),""[0-9]+""),"""")="""",0,if(isnumber(find(""pp"",lower(K38))),value(left(K38,find(""pp"",lower(K38))-1))*10,if(isnumber(find(""sp"",lower(K38))),valu"&amp;"e(left(K38,find(""sp"",lower(K38))-1))*0.1,if(isnumber(find(""gp"",lower(K38))),value(left(K38,find(""gp"",lower(K38))-1)),if(isnumber(find(""cp"",lower(K38))),value(left(K38,find(""cp"",lower(K38))-1))*0.01,K38))))*if(C38="""",1,C38)))"),0.0)</f>
        <v>0</v>
      </c>
      <c r="AT38" s="380">
        <f t="shared" si="4"/>
        <v>0</v>
      </c>
      <c r="AU38" s="379">
        <f>IFERROR(__xludf.DUMMYFUNCTION("if(OR(and(Q38="""",R38="""",Y38="""",AA38=""""),Y38=""-""),"""",if(iferror(regexextract(text(Y38,""#.##""),""[0-9]+""),"""")="""",0,if(isnumber(find(""pp"",lower(Y38))),value(left(Y38,find(""pp"",lower(Y38))-1))*10,if(isnumber(find(""sp"",lower(Y38))),val"&amp;"ue(left(Y38,find(""sp"",lower(Y38))-1))*0.1,if(isnumber(find(""gp"",lower(Y38))),value(left(Y38,find(""gp"",lower(Y38))-1)),if(isnumber(find(""cp"",lower(Y38))),value(left(Y38,find(""cp"",lower(Y38))-1))*0.01,Y38))))*if(Q38="""",1,Q38)))"),0.0)</f>
        <v>0</v>
      </c>
      <c r="AV38" s="380">
        <f t="shared" si="5"/>
        <v>0</v>
      </c>
      <c r="AW38" s="379">
        <f>IFERROR(__xludf.DUMMYFUNCTION("if(OR(and(AE38="""",AF38="""",AM38="""",AO38=""""),AM38=""-""),"""",if(iferror(regexextract(text(AM38,""#.##""),""[0-9]+""),"""")="""",0,if(isnumber(find(""pp"",lower(AM38))),value(left(AM38,find(""pp"",lower(AM38))-1))*10,if(isnumber(find(""sp"",lower(AM"&amp;"38))),value(left(AM38,find(""sp"",lower(AM38))-1))*0.1,if(isnumber(find(""gp"",lower(AM38))),value(left(AM38,find(""gp"",lower(AM38))-1)),if(isnumber(find(""cp"",lower(AM38))),value(left(AM38,find(""cp"",lower(AM38))-1))*0.01,AM38))))*if(AE38="""",1,AE38)"&amp;"))"),0.0)</f>
        <v>0</v>
      </c>
      <c r="AX38" s="381">
        <f t="shared" si="6"/>
        <v>0</v>
      </c>
      <c r="AY38" s="348"/>
      <c r="AZ38" s="348"/>
      <c r="BA38" s="348"/>
      <c r="BB38" s="348"/>
    </row>
    <row r="39" ht="15.75" customHeight="1">
      <c r="C39" s="378"/>
      <c r="D39" s="373"/>
      <c r="E39" s="74"/>
      <c r="F39" s="74"/>
      <c r="G39" s="74"/>
      <c r="H39" s="74"/>
      <c r="I39" s="74"/>
      <c r="J39" s="74"/>
      <c r="K39" s="374"/>
      <c r="L39" s="74"/>
      <c r="M39" s="375">
        <v>0.0</v>
      </c>
      <c r="N39" s="74"/>
      <c r="O39" s="376"/>
      <c r="P39" s="377"/>
      <c r="Q39" s="378"/>
      <c r="R39" s="387"/>
      <c r="S39" s="74"/>
      <c r="T39" s="74"/>
      <c r="U39" s="74"/>
      <c r="V39" s="74"/>
      <c r="W39" s="74"/>
      <c r="X39" s="74"/>
      <c r="Y39" s="386"/>
      <c r="Z39" s="74"/>
      <c r="AA39" s="384">
        <v>0.0</v>
      </c>
      <c r="AB39" s="74"/>
      <c r="AC39" s="382"/>
      <c r="AD39" s="377"/>
      <c r="AE39" s="378"/>
      <c r="AF39" s="373"/>
      <c r="AG39" s="74"/>
      <c r="AH39" s="74"/>
      <c r="AI39" s="74"/>
      <c r="AJ39" s="74"/>
      <c r="AK39" s="74"/>
      <c r="AL39" s="74"/>
      <c r="AM39" s="386"/>
      <c r="AN39" s="74"/>
      <c r="AO39" s="375">
        <v>0.0</v>
      </c>
      <c r="AP39" s="74"/>
      <c r="AS39" s="379">
        <f>IFERROR(__xludf.DUMMYFUNCTION("if(OR(and(C39="""",D39="""",K39="""",M39=""""),K39=""-""),"""",if(iferror(regexextract(text(K39,""#.##""),""[0-9]+""),"""")="""",0,if(isnumber(find(""pp"",lower(K39))),value(left(K39,find(""pp"",lower(K39))-1))*10,if(isnumber(find(""sp"",lower(K39))),valu"&amp;"e(left(K39,find(""sp"",lower(K39))-1))*0.1,if(isnumber(find(""gp"",lower(K39))),value(left(K39,find(""gp"",lower(K39))-1)),if(isnumber(find(""cp"",lower(K39))),value(left(K39,find(""cp"",lower(K39))-1))*0.01,K39))))*if(C39="""",1,C39)))"),0.0)</f>
        <v>0</v>
      </c>
      <c r="AT39" s="380">
        <f t="shared" si="4"/>
        <v>0</v>
      </c>
      <c r="AU39" s="379">
        <f>IFERROR(__xludf.DUMMYFUNCTION("if(OR(and(Q39="""",R39="""",Y39="""",AA39=""""),Y39=""-""),"""",if(iferror(regexextract(text(Y39,""#.##""),""[0-9]+""),"""")="""",0,if(isnumber(find(""pp"",lower(Y39))),value(left(Y39,find(""pp"",lower(Y39))-1))*10,if(isnumber(find(""sp"",lower(Y39))),val"&amp;"ue(left(Y39,find(""sp"",lower(Y39))-1))*0.1,if(isnumber(find(""gp"",lower(Y39))),value(left(Y39,find(""gp"",lower(Y39))-1)),if(isnumber(find(""cp"",lower(Y39))),value(left(Y39,find(""cp"",lower(Y39))-1))*0.01,Y39))))*if(Q39="""",1,Q39)))"),0.0)</f>
        <v>0</v>
      </c>
      <c r="AV39" s="380">
        <f t="shared" si="5"/>
        <v>0</v>
      </c>
      <c r="AW39" s="379">
        <f>IFERROR(__xludf.DUMMYFUNCTION("if(OR(and(AE39="""",AF39="""",AM39="""",AO39=""""),AM39=""-""),"""",if(iferror(regexextract(text(AM39,""#.##""),""[0-9]+""),"""")="""",0,if(isnumber(find(""pp"",lower(AM39))),value(left(AM39,find(""pp"",lower(AM39))-1))*10,if(isnumber(find(""sp"",lower(AM"&amp;"39))),value(left(AM39,find(""sp"",lower(AM39))-1))*0.1,if(isnumber(find(""gp"",lower(AM39))),value(left(AM39,find(""gp"",lower(AM39))-1)),if(isnumber(find(""cp"",lower(AM39))),value(left(AM39,find(""cp"",lower(AM39))-1))*0.01,AM39))))*if(AE39="""",1,AE39)"&amp;"))"),0.0)</f>
        <v>0</v>
      </c>
      <c r="AX39" s="381">
        <f t="shared" si="6"/>
        <v>0</v>
      </c>
      <c r="AY39" s="348"/>
      <c r="AZ39" s="348"/>
      <c r="BA39" s="348"/>
      <c r="BB39" s="348"/>
    </row>
    <row r="40" ht="15.75" customHeight="1">
      <c r="C40" s="378"/>
      <c r="D40" s="373"/>
      <c r="E40" s="74"/>
      <c r="F40" s="74"/>
      <c r="G40" s="74"/>
      <c r="H40" s="74"/>
      <c r="I40" s="74"/>
      <c r="J40" s="74"/>
      <c r="K40" s="374"/>
      <c r="L40" s="74"/>
      <c r="M40" s="375">
        <v>0.0</v>
      </c>
      <c r="N40" s="74"/>
      <c r="O40" s="376"/>
      <c r="P40" s="377"/>
      <c r="Q40" s="378"/>
      <c r="R40" s="387"/>
      <c r="S40" s="74"/>
      <c r="T40" s="74"/>
      <c r="U40" s="74"/>
      <c r="V40" s="74"/>
      <c r="W40" s="74"/>
      <c r="X40" s="74"/>
      <c r="Y40" s="386"/>
      <c r="Z40" s="74"/>
      <c r="AA40" s="384">
        <v>0.0</v>
      </c>
      <c r="AB40" s="74"/>
      <c r="AC40" s="382"/>
      <c r="AD40" s="377"/>
      <c r="AE40" s="378"/>
      <c r="AF40" s="387"/>
      <c r="AG40" s="74"/>
      <c r="AH40" s="74"/>
      <c r="AI40" s="74"/>
      <c r="AJ40" s="74"/>
      <c r="AK40" s="74"/>
      <c r="AL40" s="74"/>
      <c r="AM40" s="386"/>
      <c r="AN40" s="74"/>
      <c r="AO40" s="384">
        <v>0.0</v>
      </c>
      <c r="AP40" s="74"/>
      <c r="AS40" s="379">
        <f>IFERROR(__xludf.DUMMYFUNCTION("if(OR(and(C40="""",D40="""",K40="""",M40=""""),K40=""-""),"""",if(iferror(regexextract(text(K40,""#.##""),""[0-9]+""),"""")="""",0,if(isnumber(find(""pp"",lower(K40))),value(left(K40,find(""pp"",lower(K40))-1))*10,if(isnumber(find(""sp"",lower(K40))),valu"&amp;"e(left(K40,find(""sp"",lower(K40))-1))*0.1,if(isnumber(find(""gp"",lower(K40))),value(left(K40,find(""gp"",lower(K40))-1)),if(isnumber(find(""cp"",lower(K40))),value(left(K40,find(""cp"",lower(K40))-1))*0.01,K40))))*if(C40="""",1,C40)))"),0.0)</f>
        <v>0</v>
      </c>
      <c r="AT40" s="380">
        <f t="shared" si="4"/>
        <v>0</v>
      </c>
      <c r="AU40" s="379">
        <f>IFERROR(__xludf.DUMMYFUNCTION("if(OR(and(Q40="""",R40="""",Y40="""",AA40=""""),Y40=""-""),"""",if(iferror(regexextract(text(Y40,""#.##""),""[0-9]+""),"""")="""",0,if(isnumber(find(""pp"",lower(Y40))),value(left(Y40,find(""pp"",lower(Y40))-1))*10,if(isnumber(find(""sp"",lower(Y40))),val"&amp;"ue(left(Y40,find(""sp"",lower(Y40))-1))*0.1,if(isnumber(find(""gp"",lower(Y40))),value(left(Y40,find(""gp"",lower(Y40))-1)),if(isnumber(find(""cp"",lower(Y40))),value(left(Y40,find(""cp"",lower(Y40))-1))*0.01,Y40))))*if(Q40="""",1,Q40)))"),0.0)</f>
        <v>0</v>
      </c>
      <c r="AV40" s="380">
        <f t="shared" si="5"/>
        <v>0</v>
      </c>
      <c r="AW40" s="379">
        <f>IFERROR(__xludf.DUMMYFUNCTION("if(OR(and(AE40="""",AF40="""",AM40="""",AO40=""""),AM40=""-""),"""",if(iferror(regexextract(text(AM40,""#.##""),""[0-9]+""),"""")="""",0,if(isnumber(find(""pp"",lower(AM40))),value(left(AM40,find(""pp"",lower(AM40))-1))*10,if(isnumber(find(""sp"",lower(AM"&amp;"40))),value(left(AM40,find(""sp"",lower(AM40))-1))*0.1,if(isnumber(find(""gp"",lower(AM40))),value(left(AM40,find(""gp"",lower(AM40))-1)),if(isnumber(find(""cp"",lower(AM40))),value(left(AM40,find(""cp"",lower(AM40))-1))*0.01,AM40))))*if(AE40="""",1,AE40)"&amp;"))"),0.0)</f>
        <v>0</v>
      </c>
      <c r="AX40" s="381">
        <f t="shared" si="6"/>
        <v>0</v>
      </c>
      <c r="AY40" s="348"/>
      <c r="AZ40" s="348"/>
      <c r="BA40" s="348"/>
      <c r="BB40" s="348"/>
    </row>
    <row r="41" ht="15.75" customHeight="1">
      <c r="C41" s="378"/>
      <c r="D41" s="373"/>
      <c r="E41" s="74"/>
      <c r="F41" s="74"/>
      <c r="G41" s="74"/>
      <c r="H41" s="74"/>
      <c r="I41" s="74"/>
      <c r="J41" s="74"/>
      <c r="K41" s="374"/>
      <c r="L41" s="74"/>
      <c r="M41" s="375">
        <v>0.0</v>
      </c>
      <c r="N41" s="74"/>
      <c r="O41" s="382"/>
      <c r="P41" s="377"/>
      <c r="Q41" s="378"/>
      <c r="R41" s="387"/>
      <c r="S41" s="74"/>
      <c r="T41" s="74"/>
      <c r="U41" s="74"/>
      <c r="V41" s="74"/>
      <c r="W41" s="74"/>
      <c r="X41" s="74"/>
      <c r="Y41" s="386"/>
      <c r="Z41" s="74"/>
      <c r="AA41" s="384">
        <v>0.0</v>
      </c>
      <c r="AB41" s="74"/>
      <c r="AC41" s="382"/>
      <c r="AD41" s="377"/>
      <c r="AE41" s="378"/>
      <c r="AF41" s="387"/>
      <c r="AG41" s="74"/>
      <c r="AH41" s="74"/>
      <c r="AI41" s="74"/>
      <c r="AJ41" s="74"/>
      <c r="AK41" s="74"/>
      <c r="AL41" s="74"/>
      <c r="AM41" s="386"/>
      <c r="AN41" s="74"/>
      <c r="AO41" s="375">
        <v>0.0</v>
      </c>
      <c r="AP41" s="74"/>
      <c r="AS41" s="379">
        <f>IFERROR(__xludf.DUMMYFUNCTION("if(OR(and(C41="""",D41="""",K41="""",M41=""""),K41=""-""),"""",if(iferror(regexextract(text(K41,""#.##""),""[0-9]+""),"""")="""",0,if(isnumber(find(""pp"",lower(K41))),value(left(K41,find(""pp"",lower(K41))-1))*10,if(isnumber(find(""sp"",lower(K41))),valu"&amp;"e(left(K41,find(""sp"",lower(K41))-1))*0.1,if(isnumber(find(""gp"",lower(K41))),value(left(K41,find(""gp"",lower(K41))-1)),if(isnumber(find(""cp"",lower(K41))),value(left(K41,find(""cp"",lower(K41))-1))*0.01,K41))))*if(C41="""",1,C41)))"),0.0)</f>
        <v>0</v>
      </c>
      <c r="AT41" s="380">
        <f t="shared" si="4"/>
        <v>0</v>
      </c>
      <c r="AU41" s="379">
        <f>IFERROR(__xludf.DUMMYFUNCTION("if(OR(and(Q41="""",R41="""",Y41="""",AA41=""""),Y41=""-""),"""",if(iferror(regexextract(text(Y41,""#.##""),""[0-9]+""),"""")="""",0,if(isnumber(find(""pp"",lower(Y41))),value(left(Y41,find(""pp"",lower(Y41))-1))*10,if(isnumber(find(""sp"",lower(Y41))),val"&amp;"ue(left(Y41,find(""sp"",lower(Y41))-1))*0.1,if(isnumber(find(""gp"",lower(Y41))),value(left(Y41,find(""gp"",lower(Y41))-1)),if(isnumber(find(""cp"",lower(Y41))),value(left(Y41,find(""cp"",lower(Y41))-1))*0.01,Y41))))*if(Q41="""",1,Q41)))"),0.0)</f>
        <v>0</v>
      </c>
      <c r="AV41" s="380">
        <f t="shared" si="5"/>
        <v>0</v>
      </c>
      <c r="AW41" s="379">
        <f>IFERROR(__xludf.DUMMYFUNCTION("if(OR(and(AE41="""",AF41="""",AM41="""",AO41=""""),AM41=""-""),"""",if(iferror(regexextract(text(AM41,""#.##""),""[0-9]+""),"""")="""",0,if(isnumber(find(""pp"",lower(AM41))),value(left(AM41,find(""pp"",lower(AM41))-1))*10,if(isnumber(find(""sp"",lower(AM"&amp;"41))),value(left(AM41,find(""sp"",lower(AM41))-1))*0.1,if(isnumber(find(""gp"",lower(AM41))),value(left(AM41,find(""gp"",lower(AM41))-1)),if(isnumber(find(""cp"",lower(AM41))),value(left(AM41,find(""cp"",lower(AM41))-1))*0.01,AM41))))*if(AE41="""",1,AE41)"&amp;"))"),0.0)</f>
        <v>0</v>
      </c>
      <c r="AX41" s="381">
        <f t="shared" si="6"/>
        <v>0</v>
      </c>
      <c r="AY41" s="348"/>
      <c r="AZ41" s="348"/>
      <c r="BA41" s="348"/>
      <c r="BB41" s="348"/>
    </row>
    <row r="42" ht="15.75" customHeight="1">
      <c r="C42" s="378"/>
      <c r="D42" s="373"/>
      <c r="E42" s="74"/>
      <c r="F42" s="74"/>
      <c r="G42" s="74"/>
      <c r="H42" s="74"/>
      <c r="I42" s="74"/>
      <c r="J42" s="74"/>
      <c r="K42" s="374"/>
      <c r="L42" s="74"/>
      <c r="M42" s="384">
        <v>0.0</v>
      </c>
      <c r="N42" s="74"/>
      <c r="O42" s="382"/>
      <c r="P42" s="377"/>
      <c r="Q42" s="378"/>
      <c r="R42" s="387"/>
      <c r="S42" s="74"/>
      <c r="T42" s="74"/>
      <c r="U42" s="74"/>
      <c r="V42" s="74"/>
      <c r="W42" s="74"/>
      <c r="X42" s="74"/>
      <c r="Y42" s="386"/>
      <c r="Z42" s="74"/>
      <c r="AA42" s="384">
        <v>0.0</v>
      </c>
      <c r="AB42" s="74"/>
      <c r="AC42" s="382"/>
      <c r="AD42" s="377"/>
      <c r="AE42" s="378"/>
      <c r="AF42" s="387"/>
      <c r="AG42" s="74"/>
      <c r="AH42" s="74"/>
      <c r="AI42" s="74"/>
      <c r="AJ42" s="74"/>
      <c r="AK42" s="74"/>
      <c r="AL42" s="74"/>
      <c r="AM42" s="386"/>
      <c r="AN42" s="74"/>
      <c r="AO42" s="384">
        <v>0.0</v>
      </c>
      <c r="AP42" s="74"/>
      <c r="AS42" s="379">
        <f>IFERROR(__xludf.DUMMYFUNCTION("if(OR(and(C42="""",D42="""",K42="""",M42=""""),K42=""-""),"""",if(iferror(regexextract(text(K42,""#.##""),""[0-9]+""),"""")="""",0,if(isnumber(find(""pp"",lower(K42))),value(left(K42,find(""pp"",lower(K42))-1))*10,if(isnumber(find(""sp"",lower(K42))),valu"&amp;"e(left(K42,find(""sp"",lower(K42))-1))*0.1,if(isnumber(find(""gp"",lower(K42))),value(left(K42,find(""gp"",lower(K42))-1)),if(isnumber(find(""cp"",lower(K42))),value(left(K42,find(""cp"",lower(K42))-1))*0.01,K42))))*if(C42="""",1,C42)))"),0.0)</f>
        <v>0</v>
      </c>
      <c r="AT42" s="380">
        <f t="shared" si="4"/>
        <v>0</v>
      </c>
      <c r="AU42" s="379">
        <f>IFERROR(__xludf.DUMMYFUNCTION("if(OR(and(Q42="""",R42="""",Y42="""",AA42=""""),Y42=""-""),"""",if(iferror(regexextract(text(Y42,""#.##""),""[0-9]+""),"""")="""",0,if(isnumber(find(""pp"",lower(Y42))),value(left(Y42,find(""pp"",lower(Y42))-1))*10,if(isnumber(find(""sp"",lower(Y42))),val"&amp;"ue(left(Y42,find(""sp"",lower(Y42))-1))*0.1,if(isnumber(find(""gp"",lower(Y42))),value(left(Y42,find(""gp"",lower(Y42))-1)),if(isnumber(find(""cp"",lower(Y42))),value(left(Y42,find(""cp"",lower(Y42))-1))*0.01,Y42))))*if(Q42="""",1,Q42)))"),0.0)</f>
        <v>0</v>
      </c>
      <c r="AV42" s="380">
        <f t="shared" si="5"/>
        <v>0</v>
      </c>
      <c r="AW42" s="379">
        <f>IFERROR(__xludf.DUMMYFUNCTION("if(OR(and(AE42="""",AF42="""",AM42="""",AO42=""""),AM42=""-""),"""",if(iferror(regexextract(text(AM42,""#.##""),""[0-9]+""),"""")="""",0,if(isnumber(find(""pp"",lower(AM42))),value(left(AM42,find(""pp"",lower(AM42))-1))*10,if(isnumber(find(""sp"",lower(AM"&amp;"42))),value(left(AM42,find(""sp"",lower(AM42))-1))*0.1,if(isnumber(find(""gp"",lower(AM42))),value(left(AM42,find(""gp"",lower(AM42))-1)),if(isnumber(find(""cp"",lower(AM42))),value(left(AM42,find(""cp"",lower(AM42))-1))*0.01,AM42))))*if(AE42="""",1,AE42)"&amp;"))"),0.0)</f>
        <v>0</v>
      </c>
      <c r="AX42" s="381">
        <f t="shared" si="6"/>
        <v>0</v>
      </c>
      <c r="AY42" s="348"/>
      <c r="AZ42" s="348"/>
      <c r="BA42" s="348"/>
      <c r="BB42" s="348"/>
    </row>
    <row r="43" ht="15.75" customHeight="1">
      <c r="C43" s="378"/>
      <c r="D43" s="373"/>
      <c r="E43" s="74"/>
      <c r="F43" s="74"/>
      <c r="G43" s="74"/>
      <c r="H43" s="74"/>
      <c r="I43" s="74"/>
      <c r="J43" s="74"/>
      <c r="K43" s="374"/>
      <c r="L43" s="74"/>
      <c r="M43" s="375">
        <v>0.0</v>
      </c>
      <c r="N43" s="74"/>
      <c r="O43" s="382"/>
      <c r="P43" s="377"/>
      <c r="Q43" s="378"/>
      <c r="R43" s="387"/>
      <c r="S43" s="74"/>
      <c r="T43" s="74"/>
      <c r="U43" s="74"/>
      <c r="V43" s="74"/>
      <c r="W43" s="74"/>
      <c r="X43" s="74"/>
      <c r="Y43" s="386"/>
      <c r="Z43" s="74"/>
      <c r="AA43" s="384">
        <v>0.0</v>
      </c>
      <c r="AB43" s="74"/>
      <c r="AC43" s="382"/>
      <c r="AD43" s="377"/>
      <c r="AE43" s="378"/>
      <c r="AF43" s="387"/>
      <c r="AG43" s="74"/>
      <c r="AH43" s="74"/>
      <c r="AI43" s="74"/>
      <c r="AJ43" s="74"/>
      <c r="AK43" s="74"/>
      <c r="AL43" s="74"/>
      <c r="AM43" s="386"/>
      <c r="AN43" s="74"/>
      <c r="AO43" s="384">
        <v>0.0</v>
      </c>
      <c r="AP43" s="74"/>
      <c r="AS43" s="379">
        <f>IFERROR(__xludf.DUMMYFUNCTION("if(OR(and(C43="""",D43="""",K43="""",M43=""""),K43=""-""),"""",if(iferror(regexextract(text(K43,""#.##""),""[0-9]+""),"""")="""",0,if(isnumber(find(""pp"",lower(K43))),value(left(K43,find(""pp"",lower(K43))-1))*10,if(isnumber(find(""sp"",lower(K43))),valu"&amp;"e(left(K43,find(""sp"",lower(K43))-1))*0.1,if(isnumber(find(""gp"",lower(K43))),value(left(K43,find(""gp"",lower(K43))-1)),if(isnumber(find(""cp"",lower(K43))),value(left(K43,find(""cp"",lower(K43))-1))*0.01,K43))))*if(C43="""",1,C43)))"),0.0)</f>
        <v>0</v>
      </c>
      <c r="AT43" s="380">
        <f t="shared" si="4"/>
        <v>0</v>
      </c>
      <c r="AU43" s="379">
        <f>IFERROR(__xludf.DUMMYFUNCTION("if(OR(and(Q43="""",R43="""",Y43="""",AA43=""""),Y43=""-""),"""",if(iferror(regexextract(text(Y43,""#.##""),""[0-9]+""),"""")="""",0,if(isnumber(find(""pp"",lower(Y43))),value(left(Y43,find(""pp"",lower(Y43))-1))*10,if(isnumber(find(""sp"",lower(Y43))),val"&amp;"ue(left(Y43,find(""sp"",lower(Y43))-1))*0.1,if(isnumber(find(""gp"",lower(Y43))),value(left(Y43,find(""gp"",lower(Y43))-1)),if(isnumber(find(""cp"",lower(Y43))),value(left(Y43,find(""cp"",lower(Y43))-1))*0.01,Y43))))*if(Q43="""",1,Q43)))"),0.0)</f>
        <v>0</v>
      </c>
      <c r="AV43" s="380">
        <f t="shared" si="5"/>
        <v>0</v>
      </c>
      <c r="AW43" s="379">
        <f>IFERROR(__xludf.DUMMYFUNCTION("if(OR(and(AE43="""",AF43="""",AM43="""",AO43=""""),AM43=""-""),"""",if(iferror(regexextract(text(AM43,""#.##""),""[0-9]+""),"""")="""",0,if(isnumber(find(""pp"",lower(AM43))),value(left(AM43,find(""pp"",lower(AM43))-1))*10,if(isnumber(find(""sp"",lower(AM"&amp;"43))),value(left(AM43,find(""sp"",lower(AM43))-1))*0.1,if(isnumber(find(""gp"",lower(AM43))),value(left(AM43,find(""gp"",lower(AM43))-1)),if(isnumber(find(""cp"",lower(AM43))),value(left(AM43,find(""cp"",lower(AM43))-1))*0.01,AM43))))*if(AE43="""",1,AE43)"&amp;"))"),0.0)</f>
        <v>0</v>
      </c>
      <c r="AX43" s="381">
        <f t="shared" si="6"/>
        <v>0</v>
      </c>
      <c r="AY43" s="348"/>
      <c r="AZ43" s="348"/>
      <c r="BA43" s="348"/>
      <c r="BB43" s="348"/>
    </row>
    <row r="44" ht="15.75" customHeight="1">
      <c r="C44" s="378"/>
      <c r="D44" s="373"/>
      <c r="E44" s="74"/>
      <c r="F44" s="74"/>
      <c r="G44" s="74"/>
      <c r="H44" s="74"/>
      <c r="I44" s="74"/>
      <c r="J44" s="74"/>
      <c r="K44" s="374"/>
      <c r="L44" s="74"/>
      <c r="M44" s="384">
        <v>0.0</v>
      </c>
      <c r="N44" s="74"/>
      <c r="O44" s="382"/>
      <c r="P44" s="377"/>
      <c r="Q44" s="378"/>
      <c r="R44" s="387"/>
      <c r="S44" s="74"/>
      <c r="T44" s="74"/>
      <c r="U44" s="74"/>
      <c r="V44" s="74"/>
      <c r="W44" s="74"/>
      <c r="X44" s="74"/>
      <c r="Y44" s="386"/>
      <c r="Z44" s="74"/>
      <c r="AA44" s="384">
        <v>0.0</v>
      </c>
      <c r="AB44" s="74"/>
      <c r="AC44" s="382"/>
      <c r="AD44" s="377"/>
      <c r="AE44" s="378"/>
      <c r="AF44" s="387"/>
      <c r="AG44" s="74"/>
      <c r="AH44" s="74"/>
      <c r="AI44" s="74"/>
      <c r="AJ44" s="74"/>
      <c r="AK44" s="74"/>
      <c r="AL44" s="74"/>
      <c r="AM44" s="386"/>
      <c r="AN44" s="74"/>
      <c r="AO44" s="375">
        <v>0.0</v>
      </c>
      <c r="AP44" s="74"/>
      <c r="AS44" s="379">
        <f>IFERROR(__xludf.DUMMYFUNCTION("if(OR(and(C44="""",D44="""",K44="""",M44=""""),K44=""-""),"""",if(iferror(regexextract(text(K44,""#.##""),""[0-9]+""),"""")="""",0,if(isnumber(find(""pp"",lower(K44))),value(left(K44,find(""pp"",lower(K44))-1))*10,if(isnumber(find(""sp"",lower(K44))),valu"&amp;"e(left(K44,find(""sp"",lower(K44))-1))*0.1,if(isnumber(find(""gp"",lower(K44))),value(left(K44,find(""gp"",lower(K44))-1)),if(isnumber(find(""cp"",lower(K44))),value(left(K44,find(""cp"",lower(K44))-1))*0.01,K44))))*if(C44="""",1,C44)))"),0.0)</f>
        <v>0</v>
      </c>
      <c r="AT44" s="380">
        <f t="shared" si="4"/>
        <v>0</v>
      </c>
      <c r="AU44" s="379">
        <f>IFERROR(__xludf.DUMMYFUNCTION("if(OR(and(Q44="""",R44="""",Y44="""",AA44=""""),Y44=""-""),"""",if(iferror(regexextract(text(Y44,""#.##""),""[0-9]+""),"""")="""",0,if(isnumber(find(""pp"",lower(Y44))),value(left(Y44,find(""pp"",lower(Y44))-1))*10,if(isnumber(find(""sp"",lower(Y44))),val"&amp;"ue(left(Y44,find(""sp"",lower(Y44))-1))*0.1,if(isnumber(find(""gp"",lower(Y44))),value(left(Y44,find(""gp"",lower(Y44))-1)),if(isnumber(find(""cp"",lower(Y44))),value(left(Y44,find(""cp"",lower(Y44))-1))*0.01,Y44))))*if(Q44="""",1,Q44)))"),0.0)</f>
        <v>0</v>
      </c>
      <c r="AV44" s="380">
        <f t="shared" si="5"/>
        <v>0</v>
      </c>
      <c r="AW44" s="379">
        <f>IFERROR(__xludf.DUMMYFUNCTION("if(OR(and(AE44="""",AF44="""",AM44="""",AO44=""""),AM44=""-""),"""",if(iferror(regexextract(text(AM44,""#.##""),""[0-9]+""),"""")="""",0,if(isnumber(find(""pp"",lower(AM44))),value(left(AM44,find(""pp"",lower(AM44))-1))*10,if(isnumber(find(""sp"",lower(AM"&amp;"44))),value(left(AM44,find(""sp"",lower(AM44))-1))*0.1,if(isnumber(find(""gp"",lower(AM44))),value(left(AM44,find(""gp"",lower(AM44))-1)),if(isnumber(find(""cp"",lower(AM44))),value(left(AM44,find(""cp"",lower(AM44))-1))*0.01,AM44))))*if(AE44="""",1,AE44)"&amp;"))"),0.0)</f>
        <v>0</v>
      </c>
      <c r="AX44" s="381">
        <f t="shared" si="6"/>
        <v>0</v>
      </c>
      <c r="AY44" s="348"/>
      <c r="AZ44" s="348"/>
      <c r="BA44" s="348"/>
      <c r="BB44" s="348"/>
    </row>
    <row r="45" ht="15.75" customHeight="1">
      <c r="C45" s="378"/>
      <c r="D45" s="373"/>
      <c r="E45" s="74"/>
      <c r="F45" s="74"/>
      <c r="G45" s="74"/>
      <c r="H45" s="74"/>
      <c r="I45" s="74"/>
      <c r="J45" s="74"/>
      <c r="K45" s="374"/>
      <c r="L45" s="74"/>
      <c r="M45" s="384">
        <v>0.0</v>
      </c>
      <c r="N45" s="74"/>
      <c r="O45" s="382"/>
      <c r="P45" s="377"/>
      <c r="Q45" s="378"/>
      <c r="R45" s="387"/>
      <c r="S45" s="74"/>
      <c r="T45" s="74"/>
      <c r="U45" s="74"/>
      <c r="V45" s="74"/>
      <c r="W45" s="74"/>
      <c r="X45" s="74"/>
      <c r="Y45" s="386"/>
      <c r="Z45" s="74"/>
      <c r="AA45" s="384">
        <v>0.0</v>
      </c>
      <c r="AB45" s="74"/>
      <c r="AC45" s="382"/>
      <c r="AD45" s="377"/>
      <c r="AE45" s="378"/>
      <c r="AF45" s="387"/>
      <c r="AG45" s="74"/>
      <c r="AH45" s="74"/>
      <c r="AI45" s="74"/>
      <c r="AJ45" s="74"/>
      <c r="AK45" s="74"/>
      <c r="AL45" s="74"/>
      <c r="AM45" s="386"/>
      <c r="AN45" s="74"/>
      <c r="AO45" s="384">
        <v>0.0</v>
      </c>
      <c r="AP45" s="74"/>
      <c r="AS45" s="379">
        <f>IFERROR(__xludf.DUMMYFUNCTION("if(OR(and(C45="""",D45="""",K45="""",M45=""""),K45=""-""),"""",if(iferror(regexextract(text(K45,""#.##""),""[0-9]+""),"""")="""",0,if(isnumber(find(""pp"",lower(K45))),value(left(K45,find(""pp"",lower(K45))-1))*10,if(isnumber(find(""sp"",lower(K45))),valu"&amp;"e(left(K45,find(""sp"",lower(K45))-1))*0.1,if(isnumber(find(""gp"",lower(K45))),value(left(K45,find(""gp"",lower(K45))-1)),if(isnumber(find(""cp"",lower(K45))),value(left(K45,find(""cp"",lower(K45))-1))*0.01,K45))))*if(C45="""",1,C45)))"),0.0)</f>
        <v>0</v>
      </c>
      <c r="AT45" s="380">
        <f t="shared" si="4"/>
        <v>0</v>
      </c>
      <c r="AU45" s="379">
        <f>IFERROR(__xludf.DUMMYFUNCTION("if(OR(and(Q45="""",R45="""",Y45="""",AA45=""""),Y45=""-""),"""",if(iferror(regexextract(text(Y45,""#.##""),""[0-9]+""),"""")="""",0,if(isnumber(find(""pp"",lower(Y45))),value(left(Y45,find(""pp"",lower(Y45))-1))*10,if(isnumber(find(""sp"",lower(Y45))),val"&amp;"ue(left(Y45,find(""sp"",lower(Y45))-1))*0.1,if(isnumber(find(""gp"",lower(Y45))),value(left(Y45,find(""gp"",lower(Y45))-1)),if(isnumber(find(""cp"",lower(Y45))),value(left(Y45,find(""cp"",lower(Y45))-1))*0.01,Y45))))*if(Q45="""",1,Q45)))"),0.0)</f>
        <v>0</v>
      </c>
      <c r="AV45" s="380">
        <f t="shared" si="5"/>
        <v>0</v>
      </c>
      <c r="AW45" s="379">
        <f>IFERROR(__xludf.DUMMYFUNCTION("if(OR(and(AE45="""",AF45="""",AM45="""",AO45=""""),AM45=""-""),"""",if(iferror(regexextract(text(AM45,""#.##""),""[0-9]+""),"""")="""",0,if(isnumber(find(""pp"",lower(AM45))),value(left(AM45,find(""pp"",lower(AM45))-1))*10,if(isnumber(find(""sp"",lower(AM"&amp;"45))),value(left(AM45,find(""sp"",lower(AM45))-1))*0.1,if(isnumber(find(""gp"",lower(AM45))),value(left(AM45,find(""gp"",lower(AM45))-1)),if(isnumber(find(""cp"",lower(AM45))),value(left(AM45,find(""cp"",lower(AM45))-1))*0.01,AM45))))*if(AE45="""",1,AE45)"&amp;"))"),0.0)</f>
        <v>0</v>
      </c>
      <c r="AX45" s="381">
        <f t="shared" si="6"/>
        <v>0</v>
      </c>
      <c r="AY45" s="348"/>
      <c r="AZ45" s="348"/>
      <c r="BA45" s="348"/>
      <c r="BB45" s="348"/>
    </row>
    <row r="46" ht="15.75" customHeight="1">
      <c r="C46" s="378"/>
      <c r="D46" s="373"/>
      <c r="E46" s="74"/>
      <c r="F46" s="74"/>
      <c r="G46" s="74"/>
      <c r="H46" s="74"/>
      <c r="I46" s="74"/>
      <c r="J46" s="74"/>
      <c r="K46" s="374"/>
      <c r="L46" s="74"/>
      <c r="M46" s="384">
        <v>0.0</v>
      </c>
      <c r="N46" s="74"/>
      <c r="O46" s="382"/>
      <c r="P46" s="377"/>
      <c r="Q46" s="378"/>
      <c r="R46" s="387"/>
      <c r="S46" s="74"/>
      <c r="T46" s="74"/>
      <c r="U46" s="74"/>
      <c r="V46" s="74"/>
      <c r="W46" s="74"/>
      <c r="X46" s="74"/>
      <c r="Y46" s="386"/>
      <c r="Z46" s="74"/>
      <c r="AA46" s="384">
        <v>0.0</v>
      </c>
      <c r="AB46" s="74"/>
      <c r="AC46" s="382"/>
      <c r="AD46" s="377"/>
      <c r="AE46" s="378"/>
      <c r="AF46" s="387"/>
      <c r="AG46" s="74"/>
      <c r="AH46" s="74"/>
      <c r="AI46" s="74"/>
      <c r="AJ46" s="74"/>
      <c r="AK46" s="74"/>
      <c r="AL46" s="74"/>
      <c r="AM46" s="386"/>
      <c r="AN46" s="74"/>
      <c r="AO46" s="384">
        <v>0.0</v>
      </c>
      <c r="AP46" s="74"/>
      <c r="AS46" s="379">
        <f>IFERROR(__xludf.DUMMYFUNCTION("if(OR(and(C46="""",D46="""",K46="""",M46=""""),K46=""-""),"""",if(iferror(regexextract(text(K46,""#.##""),""[0-9]+""),"""")="""",0,if(isnumber(find(""pp"",lower(K46))),value(left(K46,find(""pp"",lower(K46))-1))*10,if(isnumber(find(""sp"",lower(K46))),valu"&amp;"e(left(K46,find(""sp"",lower(K46))-1))*0.1,if(isnumber(find(""gp"",lower(K46))),value(left(K46,find(""gp"",lower(K46))-1)),if(isnumber(find(""cp"",lower(K46))),value(left(K46,find(""cp"",lower(K46))-1))*0.01,K46))))*if(C46="""",1,C46)))"),0.0)</f>
        <v>0</v>
      </c>
      <c r="AT46" s="380">
        <f t="shared" si="4"/>
        <v>0</v>
      </c>
      <c r="AU46" s="379">
        <f>IFERROR(__xludf.DUMMYFUNCTION("if(OR(and(Q46="""",R46="""",Y46="""",AA46=""""),Y46=""-""),"""",if(iferror(regexextract(text(Y46,""#.##""),""[0-9]+""),"""")="""",0,if(isnumber(find(""pp"",lower(Y46))),value(left(Y46,find(""pp"",lower(Y46))-1))*10,if(isnumber(find(""sp"",lower(Y46))),val"&amp;"ue(left(Y46,find(""sp"",lower(Y46))-1))*0.1,if(isnumber(find(""gp"",lower(Y46))),value(left(Y46,find(""gp"",lower(Y46))-1)),if(isnumber(find(""cp"",lower(Y46))),value(left(Y46,find(""cp"",lower(Y46))-1))*0.01,Y46))))*if(Q46="""",1,Q46)))"),0.0)</f>
        <v>0</v>
      </c>
      <c r="AV46" s="380">
        <f t="shared" si="5"/>
        <v>0</v>
      </c>
      <c r="AW46" s="379">
        <f>IFERROR(__xludf.DUMMYFUNCTION("if(OR(and(AE46="""",AF46="""",AM46="""",AO46=""""),AM46=""-""),"""",if(iferror(regexextract(text(AM46,""#.##""),""[0-9]+""),"""")="""",0,if(isnumber(find(""pp"",lower(AM46))),value(left(AM46,find(""pp"",lower(AM46))-1))*10,if(isnumber(find(""sp"",lower(AM"&amp;"46))),value(left(AM46,find(""sp"",lower(AM46))-1))*0.1,if(isnumber(find(""gp"",lower(AM46))),value(left(AM46,find(""gp"",lower(AM46))-1)),if(isnumber(find(""cp"",lower(AM46))),value(left(AM46,find(""cp"",lower(AM46))-1))*0.01,AM46))))*if(AE46="""",1,AE46)"&amp;"))"),0.0)</f>
        <v>0</v>
      </c>
      <c r="AX46" s="381">
        <f t="shared" si="6"/>
        <v>0</v>
      </c>
      <c r="AY46" s="348"/>
      <c r="AZ46" s="348"/>
      <c r="BA46" s="348"/>
      <c r="BB46" s="348"/>
    </row>
    <row r="47" ht="15.75" customHeight="1">
      <c r="C47" s="378"/>
      <c r="D47" s="373"/>
      <c r="E47" s="74"/>
      <c r="F47" s="74"/>
      <c r="G47" s="74"/>
      <c r="H47" s="74"/>
      <c r="I47" s="74"/>
      <c r="J47" s="74"/>
      <c r="K47" s="386"/>
      <c r="L47" s="74"/>
      <c r="M47" s="375">
        <v>0.0</v>
      </c>
      <c r="N47" s="74"/>
      <c r="O47" s="382"/>
      <c r="P47" s="377"/>
      <c r="Q47" s="378"/>
      <c r="R47" s="387"/>
      <c r="S47" s="74"/>
      <c r="T47" s="74"/>
      <c r="U47" s="74"/>
      <c r="V47" s="74"/>
      <c r="W47" s="74"/>
      <c r="X47" s="74"/>
      <c r="Y47" s="386"/>
      <c r="Z47" s="74"/>
      <c r="AA47" s="384">
        <v>0.0</v>
      </c>
      <c r="AB47" s="74"/>
      <c r="AC47" s="382"/>
      <c r="AD47" s="377"/>
      <c r="AE47" s="378"/>
      <c r="AF47" s="387"/>
      <c r="AG47" s="74"/>
      <c r="AH47" s="74"/>
      <c r="AI47" s="74"/>
      <c r="AJ47" s="74"/>
      <c r="AK47" s="74"/>
      <c r="AL47" s="74"/>
      <c r="AM47" s="386"/>
      <c r="AN47" s="74"/>
      <c r="AO47" s="384">
        <v>0.0</v>
      </c>
      <c r="AP47" s="74"/>
      <c r="AS47" s="379">
        <f>IFERROR(__xludf.DUMMYFUNCTION("if(OR(and(C47="""",D47="""",K47="""",M47=""""),K47=""-""),"""",if(iferror(regexextract(text(K47,""#.##""),""[0-9]+""),"""")="""",0,if(isnumber(find(""pp"",lower(K47))),value(left(K47,find(""pp"",lower(K47))-1))*10,if(isnumber(find(""sp"",lower(K47))),valu"&amp;"e(left(K47,find(""sp"",lower(K47))-1))*0.1,if(isnumber(find(""gp"",lower(K47))),value(left(K47,find(""gp"",lower(K47))-1)),if(isnumber(find(""cp"",lower(K47))),value(left(K47,find(""cp"",lower(K47))-1))*0.01,K47))))*if(C47="""",1,C47)))"),0.0)</f>
        <v>0</v>
      </c>
      <c r="AT47" s="380">
        <f t="shared" si="4"/>
        <v>0</v>
      </c>
      <c r="AU47" s="379">
        <f>IFERROR(__xludf.DUMMYFUNCTION("if(OR(and(Q47="""",R47="""",Y47="""",AA47=""""),Y47=""-""),"""",if(iferror(regexextract(text(Y47,""#.##""),""[0-9]+""),"""")="""",0,if(isnumber(find(""pp"",lower(Y47))),value(left(Y47,find(""pp"",lower(Y47))-1))*10,if(isnumber(find(""sp"",lower(Y47))),val"&amp;"ue(left(Y47,find(""sp"",lower(Y47))-1))*0.1,if(isnumber(find(""gp"",lower(Y47))),value(left(Y47,find(""gp"",lower(Y47))-1)),if(isnumber(find(""cp"",lower(Y47))),value(left(Y47,find(""cp"",lower(Y47))-1))*0.01,Y47))))*if(Q47="""",1,Q47)))"),0.0)</f>
        <v>0</v>
      </c>
      <c r="AV47" s="380">
        <f t="shared" si="5"/>
        <v>0</v>
      </c>
      <c r="AW47" s="379">
        <f>IFERROR(__xludf.DUMMYFUNCTION("if(OR(and(AE47="""",AF47="""",AM47="""",AO47=""""),AM47=""-""),"""",if(iferror(regexextract(text(AM47,""#.##""),""[0-9]+""),"""")="""",0,if(isnumber(find(""pp"",lower(AM47))),value(left(AM47,find(""pp"",lower(AM47))-1))*10,if(isnumber(find(""sp"",lower(AM"&amp;"47))),value(left(AM47,find(""sp"",lower(AM47))-1))*0.1,if(isnumber(find(""gp"",lower(AM47))),value(left(AM47,find(""gp"",lower(AM47))-1)),if(isnumber(find(""cp"",lower(AM47))),value(left(AM47,find(""cp"",lower(AM47))-1))*0.01,AM47))))*if(AE47="""",1,AE47)"&amp;"))"),0.0)</f>
        <v>0</v>
      </c>
      <c r="AX47" s="381">
        <f t="shared" si="6"/>
        <v>0</v>
      </c>
      <c r="AY47" s="348"/>
      <c r="AZ47" s="348"/>
      <c r="BA47" s="348"/>
      <c r="BB47" s="348"/>
    </row>
    <row r="48" ht="15.75" customHeight="1">
      <c r="C48" s="378"/>
      <c r="D48" s="373"/>
      <c r="E48" s="74"/>
      <c r="F48" s="74"/>
      <c r="G48" s="74"/>
      <c r="H48" s="74"/>
      <c r="I48" s="74"/>
      <c r="J48" s="74"/>
      <c r="K48" s="374"/>
      <c r="L48" s="74"/>
      <c r="M48" s="384">
        <v>0.0</v>
      </c>
      <c r="N48" s="74"/>
      <c r="O48" s="382"/>
      <c r="P48" s="377"/>
      <c r="Q48" s="378"/>
      <c r="R48" s="387"/>
      <c r="S48" s="74"/>
      <c r="T48" s="74"/>
      <c r="U48" s="74"/>
      <c r="V48" s="74"/>
      <c r="W48" s="74"/>
      <c r="X48" s="74"/>
      <c r="Y48" s="386"/>
      <c r="Z48" s="74"/>
      <c r="AA48" s="384">
        <v>0.0</v>
      </c>
      <c r="AB48" s="74"/>
      <c r="AC48" s="382"/>
      <c r="AD48" s="377"/>
      <c r="AE48" s="378"/>
      <c r="AF48" s="387"/>
      <c r="AG48" s="74"/>
      <c r="AH48" s="74"/>
      <c r="AI48" s="74"/>
      <c r="AJ48" s="74"/>
      <c r="AK48" s="74"/>
      <c r="AL48" s="74"/>
      <c r="AM48" s="386"/>
      <c r="AN48" s="74"/>
      <c r="AO48" s="384">
        <v>0.0</v>
      </c>
      <c r="AP48" s="74"/>
      <c r="AS48" s="379">
        <f>IFERROR(__xludf.DUMMYFUNCTION("if(OR(and(C48="""",D48="""",K48="""",M48=""""),K48=""-""),"""",if(iferror(regexextract(text(K48,""#.##""),""[0-9]+""),"""")="""",0,if(isnumber(find(""pp"",lower(K48))),value(left(K48,find(""pp"",lower(K48))-1))*10,if(isnumber(find(""sp"",lower(K48))),valu"&amp;"e(left(K48,find(""sp"",lower(K48))-1))*0.1,if(isnumber(find(""gp"",lower(K48))),value(left(K48,find(""gp"",lower(K48))-1)),if(isnumber(find(""cp"",lower(K48))),value(left(K48,find(""cp"",lower(K48))-1))*0.01,K48))))*if(C48="""",1,C48)))"),0.0)</f>
        <v>0</v>
      </c>
      <c r="AT48" s="380">
        <f t="shared" si="4"/>
        <v>0</v>
      </c>
      <c r="AU48" s="379">
        <f>IFERROR(__xludf.DUMMYFUNCTION("if(OR(and(Q48="""",R48="""",Y48="""",AA48=""""),Y48=""-""),"""",if(iferror(regexextract(text(Y48,""#.##""),""[0-9]+""),"""")="""",0,if(isnumber(find(""pp"",lower(Y48))),value(left(Y48,find(""pp"",lower(Y48))-1))*10,if(isnumber(find(""sp"",lower(Y48))),val"&amp;"ue(left(Y48,find(""sp"",lower(Y48))-1))*0.1,if(isnumber(find(""gp"",lower(Y48))),value(left(Y48,find(""gp"",lower(Y48))-1)),if(isnumber(find(""cp"",lower(Y48))),value(left(Y48,find(""cp"",lower(Y48))-1))*0.01,Y48))))*if(Q48="""",1,Q48)))"),0.0)</f>
        <v>0</v>
      </c>
      <c r="AV48" s="380">
        <f t="shared" si="5"/>
        <v>0</v>
      </c>
      <c r="AW48" s="379">
        <f>IFERROR(__xludf.DUMMYFUNCTION("if(OR(and(AE48="""",AF48="""",AM48="""",AO48=""""),AM48=""-""),"""",if(iferror(regexextract(text(AM48,""#.##""),""[0-9]+""),"""")="""",0,if(isnumber(find(""pp"",lower(AM48))),value(left(AM48,find(""pp"",lower(AM48))-1))*10,if(isnumber(find(""sp"",lower(AM"&amp;"48))),value(left(AM48,find(""sp"",lower(AM48))-1))*0.1,if(isnumber(find(""gp"",lower(AM48))),value(left(AM48,find(""gp"",lower(AM48))-1)),if(isnumber(find(""cp"",lower(AM48))),value(left(AM48,find(""cp"",lower(AM48))-1))*0.01,AM48))))*if(AE48="""",1,AE48)"&amp;"))"),0.0)</f>
        <v>0</v>
      </c>
      <c r="AX48" s="381">
        <f t="shared" si="6"/>
        <v>0</v>
      </c>
      <c r="AY48" s="348"/>
      <c r="AZ48" s="348"/>
      <c r="BA48" s="348"/>
      <c r="BB48" s="348"/>
    </row>
    <row r="49" ht="15.75" customHeight="1">
      <c r="C49" s="378"/>
      <c r="D49" s="373"/>
      <c r="E49" s="74"/>
      <c r="F49" s="74"/>
      <c r="G49" s="74"/>
      <c r="H49" s="74"/>
      <c r="I49" s="74"/>
      <c r="J49" s="74"/>
      <c r="K49" s="386"/>
      <c r="L49" s="74"/>
      <c r="M49" s="375">
        <v>0.0</v>
      </c>
      <c r="N49" s="74"/>
      <c r="O49" s="382"/>
      <c r="P49" s="377"/>
      <c r="Q49" s="378"/>
      <c r="R49" s="387"/>
      <c r="S49" s="74"/>
      <c r="T49" s="74"/>
      <c r="U49" s="74"/>
      <c r="V49" s="74"/>
      <c r="W49" s="74"/>
      <c r="X49" s="74"/>
      <c r="Y49" s="386"/>
      <c r="Z49" s="74"/>
      <c r="AA49" s="384">
        <v>0.0</v>
      </c>
      <c r="AB49" s="74"/>
      <c r="AC49" s="382"/>
      <c r="AD49" s="377"/>
      <c r="AE49" s="378"/>
      <c r="AF49" s="387"/>
      <c r="AG49" s="74"/>
      <c r="AH49" s="74"/>
      <c r="AI49" s="74"/>
      <c r="AJ49" s="74"/>
      <c r="AK49" s="74"/>
      <c r="AL49" s="74"/>
      <c r="AM49" s="374"/>
      <c r="AN49" s="74"/>
      <c r="AO49" s="375">
        <v>0.0</v>
      </c>
      <c r="AP49" s="74"/>
      <c r="AS49" s="379">
        <f>IFERROR(__xludf.DUMMYFUNCTION("if(OR(and(C49="""",D49="""",K49="""",M49=""""),K49=""-""),"""",if(iferror(regexextract(text(K49,""#.##""),""[0-9]+""),"""")="""",0,if(isnumber(find(""pp"",lower(K49))),value(left(K49,find(""pp"",lower(K49))-1))*10,if(isnumber(find(""sp"",lower(K49))),valu"&amp;"e(left(K49,find(""sp"",lower(K49))-1))*0.1,if(isnumber(find(""gp"",lower(K49))),value(left(K49,find(""gp"",lower(K49))-1)),if(isnumber(find(""cp"",lower(K49))),value(left(K49,find(""cp"",lower(K49))-1))*0.01,K49))))*if(C49="""",1,C49)))"),0.0)</f>
        <v>0</v>
      </c>
      <c r="AT49" s="380">
        <f t="shared" si="4"/>
        <v>0</v>
      </c>
      <c r="AU49" s="379">
        <f>IFERROR(__xludf.DUMMYFUNCTION("if(OR(and(Q49="""",R49="""",Y49="""",AA49=""""),Y49=""-""),"""",if(iferror(regexextract(text(Y49,""#.##""),""[0-9]+""),"""")="""",0,if(isnumber(find(""pp"",lower(Y49))),value(left(Y49,find(""pp"",lower(Y49))-1))*10,if(isnumber(find(""sp"",lower(Y49))),val"&amp;"ue(left(Y49,find(""sp"",lower(Y49))-1))*0.1,if(isnumber(find(""gp"",lower(Y49))),value(left(Y49,find(""gp"",lower(Y49))-1)),if(isnumber(find(""cp"",lower(Y49))),value(left(Y49,find(""cp"",lower(Y49))-1))*0.01,Y49))))*if(Q49="""",1,Q49)))"),0.0)</f>
        <v>0</v>
      </c>
      <c r="AV49" s="380">
        <f t="shared" si="5"/>
        <v>0</v>
      </c>
      <c r="AW49" s="379">
        <f>IFERROR(__xludf.DUMMYFUNCTION("if(OR(and(AE49="""",AF49="""",AM49="""",AO49=""""),AM49=""-""),"""",if(iferror(regexextract(text(AM49,""#.##""),""[0-9]+""),"""")="""",0,if(isnumber(find(""pp"",lower(AM49))),value(left(AM49,find(""pp"",lower(AM49))-1))*10,if(isnumber(find(""sp"",lower(AM"&amp;"49))),value(left(AM49,find(""sp"",lower(AM49))-1))*0.1,if(isnumber(find(""gp"",lower(AM49))),value(left(AM49,find(""gp"",lower(AM49))-1)),if(isnumber(find(""cp"",lower(AM49))),value(left(AM49,find(""cp"",lower(AM49))-1))*0.01,AM49))))*if(AE49="""",1,AE49)"&amp;"))"),0.0)</f>
        <v>0</v>
      </c>
      <c r="AX49" s="380">
        <f t="shared" si="6"/>
        <v>0</v>
      </c>
      <c r="AY49" s="348"/>
      <c r="AZ49" s="348"/>
      <c r="BA49" s="348"/>
      <c r="BB49" s="348"/>
    </row>
    <row r="50" ht="15.75" customHeight="1">
      <c r="C50" s="378"/>
      <c r="D50" s="373"/>
      <c r="E50" s="74"/>
      <c r="F50" s="74"/>
      <c r="G50" s="74"/>
      <c r="H50" s="74"/>
      <c r="I50" s="74"/>
      <c r="J50" s="74"/>
      <c r="K50" s="374"/>
      <c r="L50" s="74"/>
      <c r="M50" s="384">
        <v>0.0</v>
      </c>
      <c r="N50" s="74"/>
      <c r="O50" s="382"/>
      <c r="P50" s="377"/>
      <c r="Q50" s="378"/>
      <c r="R50" s="387"/>
      <c r="S50" s="74"/>
      <c r="T50" s="74"/>
      <c r="U50" s="74"/>
      <c r="V50" s="74"/>
      <c r="W50" s="74"/>
      <c r="X50" s="74"/>
      <c r="Y50" s="386"/>
      <c r="Z50" s="74"/>
      <c r="AA50" s="384">
        <v>0.0</v>
      </c>
      <c r="AB50" s="74"/>
      <c r="AC50" s="382"/>
      <c r="AD50" s="377"/>
      <c r="AE50" s="378"/>
      <c r="AF50" s="387"/>
      <c r="AG50" s="74"/>
      <c r="AH50" s="74"/>
      <c r="AI50" s="74"/>
      <c r="AJ50" s="74"/>
      <c r="AK50" s="74"/>
      <c r="AL50" s="74"/>
      <c r="AM50" s="386"/>
      <c r="AN50" s="74"/>
      <c r="AO50" s="384">
        <v>0.0</v>
      </c>
      <c r="AP50" s="74"/>
      <c r="AS50" s="379">
        <f>IFERROR(__xludf.DUMMYFUNCTION("if(OR(and(C50="""",D50="""",K50="""",M50=""""),K50=""-""),"""",if(iferror(regexextract(text(K50,""#.##""),""[0-9]+""),"""")="""",0,if(isnumber(find(""pp"",lower(K50))),value(left(K50,find(""pp"",lower(K50))-1))*10,if(isnumber(find(""sp"",lower(K50))),valu"&amp;"e(left(K50,find(""sp"",lower(K50))-1))*0.1,if(isnumber(find(""gp"",lower(K50))),value(left(K50,find(""gp"",lower(K50))-1)),if(isnumber(find(""cp"",lower(K50))),value(left(K50,find(""cp"",lower(K50))-1))*0.01,K50))))*if(C50="""",1,C50)))"),0.0)</f>
        <v>0</v>
      </c>
      <c r="AT50" s="380">
        <f t="shared" si="4"/>
        <v>0</v>
      </c>
      <c r="AU50" s="379">
        <f>IFERROR(__xludf.DUMMYFUNCTION("if(OR(and(Q50="""",R50="""",Y50="""",AA50=""""),Y50=""-""),"""",if(iferror(regexextract(text(Y50,""#.##""),""[0-9]+""),"""")="""",0,if(isnumber(find(""pp"",lower(Y50))),value(left(Y50,find(""pp"",lower(Y50))-1))*10,if(isnumber(find(""sp"",lower(Y50))),val"&amp;"ue(left(Y50,find(""sp"",lower(Y50))-1))*0.1,if(isnumber(find(""gp"",lower(Y50))),value(left(Y50,find(""gp"",lower(Y50))-1)),if(isnumber(find(""cp"",lower(Y50))),value(left(Y50,find(""cp"",lower(Y50))-1))*0.01,Y50))))*if(Q50="""",1,Q50)))"),0.0)</f>
        <v>0</v>
      </c>
      <c r="AV50" s="380">
        <f t="shared" si="5"/>
        <v>0</v>
      </c>
      <c r="AW50" s="379">
        <f>IFERROR(__xludf.DUMMYFUNCTION("if(OR(and(AE50="""",AF50="""",AM50="""",AO50=""""),AM50=""-""),"""",if(iferror(regexextract(text(AM50,""#.##""),""[0-9]+""),"""")="""",0,if(isnumber(find(""pp"",lower(AM50))),value(left(AM50,find(""pp"",lower(AM50))-1))*10,if(isnumber(find(""sp"",lower(AM"&amp;"50))),value(left(AM50,find(""sp"",lower(AM50))-1))*0.1,if(isnumber(find(""gp"",lower(AM50))),value(left(AM50,find(""gp"",lower(AM50))-1)),if(isnumber(find(""cp"",lower(AM50))),value(left(AM50,find(""cp"",lower(AM50))-1))*0.01,AM50))))*if(AE50="""",1,AE50)"&amp;"))"),0.0)</f>
        <v>0</v>
      </c>
      <c r="AX50" s="381">
        <f t="shared" si="6"/>
        <v>0</v>
      </c>
      <c r="AY50" s="348"/>
      <c r="AZ50" s="348"/>
      <c r="BA50" s="348"/>
      <c r="BB50" s="348"/>
    </row>
    <row r="51" ht="15.75" customHeight="1">
      <c r="C51" s="378"/>
      <c r="D51" s="373"/>
      <c r="E51" s="74"/>
      <c r="F51" s="74"/>
      <c r="G51" s="74"/>
      <c r="H51" s="74"/>
      <c r="I51" s="74"/>
      <c r="J51" s="74"/>
      <c r="K51" s="386"/>
      <c r="L51" s="74"/>
      <c r="M51" s="375">
        <v>0.0</v>
      </c>
      <c r="N51" s="74"/>
      <c r="O51" s="382"/>
      <c r="P51" s="377"/>
      <c r="Q51" s="378"/>
      <c r="R51" s="387"/>
      <c r="S51" s="74"/>
      <c r="T51" s="74"/>
      <c r="U51" s="74"/>
      <c r="V51" s="74"/>
      <c r="W51" s="74"/>
      <c r="X51" s="74"/>
      <c r="Y51" s="374"/>
      <c r="Z51" s="74"/>
      <c r="AA51" s="384">
        <v>0.0</v>
      </c>
      <c r="AB51" s="74"/>
      <c r="AC51" s="382"/>
      <c r="AD51" s="377"/>
      <c r="AE51" s="378"/>
      <c r="AF51" s="387"/>
      <c r="AG51" s="74"/>
      <c r="AH51" s="74"/>
      <c r="AI51" s="74"/>
      <c r="AJ51" s="74"/>
      <c r="AK51" s="74"/>
      <c r="AL51" s="74"/>
      <c r="AM51" s="374"/>
      <c r="AN51" s="74"/>
      <c r="AO51" s="375">
        <v>0.0</v>
      </c>
      <c r="AP51" s="74"/>
      <c r="AS51" s="389">
        <f>IFERROR(__xludf.DUMMYFUNCTION("if(OR(and(C51="""",D51="""",K51="""",M51=""""),K51=""-""),"""",if(iferror(regexextract(text(K51,""#.##""),""[0-9]+""),"""")="""",0,if(isnumber(find(""pp"",lower(K51))),value(left(K51,find(""pp"",lower(K51))-1))*10,if(isnumber(find(""sp"",lower(K51))),valu"&amp;"e(left(K51,find(""sp"",lower(K51))-1))*0.1,if(isnumber(find(""gp"",lower(K51))),value(left(K51,find(""gp"",lower(K51))-1)),if(isnumber(find(""cp"",lower(K51))),value(left(K51,find(""cp"",lower(K51))-1))*0.01,K51))))*if(C51="""",1,C51)))"),0.0)</f>
        <v>0</v>
      </c>
      <c r="AT51" s="390">
        <f t="shared" si="4"/>
        <v>0</v>
      </c>
      <c r="AU51" s="389">
        <f>IFERROR(__xludf.DUMMYFUNCTION("if(OR(and(Q51="""",R51="""",Y51="""",AA51=""""),Y51=""-""),"""",if(iferror(regexextract(text(Y51,""#.##""),""[0-9]+""),"""")="""",0,if(isnumber(find(""pp"",lower(Y51))),value(left(Y51,find(""pp"",lower(Y51))-1))*10,if(isnumber(find(""sp"",lower(Y51))),val"&amp;"ue(left(Y51,find(""sp"",lower(Y51))-1))*0.1,if(isnumber(find(""gp"",lower(Y51))),value(left(Y51,find(""gp"",lower(Y51))-1)),if(isnumber(find(""cp"",lower(Y51))),value(left(Y51,find(""cp"",lower(Y51))-1))*0.01,Y51))))*if(Q51="""",1,Q51)))"),0.0)</f>
        <v>0</v>
      </c>
      <c r="AV51" s="390">
        <f t="shared" si="5"/>
        <v>0</v>
      </c>
      <c r="AW51" s="389">
        <f>IFERROR(__xludf.DUMMYFUNCTION("if(OR(and(AE51="""",AF51="""",AM51="""",AO51=""""),AM51=""-""),"""",if(iferror(regexextract(text(AM51,""#.##""),""[0-9]+""),"""")="""",0,if(isnumber(find(""pp"",lower(AM51))),value(left(AM51,find(""pp"",lower(AM51))-1))*10,if(isnumber(find(""sp"",lower(AM"&amp;"51))),value(left(AM51,find(""sp"",lower(AM51))-1))*0.1,if(isnumber(find(""gp"",lower(AM51))),value(left(AM51,find(""gp"",lower(AM51))-1)),if(isnumber(find(""cp"",lower(AM51))),value(left(AM51,find(""cp"",lower(AM51))-1))*0.01,AM51))))*if(AE51="""",1,AE51)"&amp;"))"),0.0)</f>
        <v>0</v>
      </c>
      <c r="AX51" s="390">
        <f t="shared" si="6"/>
        <v>0</v>
      </c>
      <c r="AY51" s="348"/>
      <c r="AZ51" s="348"/>
      <c r="BA51" s="348"/>
      <c r="BB51" s="348"/>
    </row>
    <row r="52" ht="15.75" customHeight="1">
      <c r="C52" s="405" t="s">
        <v>245</v>
      </c>
      <c r="D52" s="31"/>
      <c r="E52" s="31"/>
      <c r="F52" s="31"/>
      <c r="G52" s="31"/>
      <c r="H52" s="31"/>
      <c r="I52" s="31"/>
      <c r="J52" s="31"/>
      <c r="K52" s="31"/>
      <c r="L52" s="31"/>
      <c r="M52" s="31"/>
      <c r="N52" s="31"/>
      <c r="O52" s="31"/>
      <c r="P52" s="31"/>
      <c r="Q52" s="31"/>
      <c r="R52" s="31"/>
      <c r="S52" s="31"/>
      <c r="T52" s="31"/>
      <c r="U52" s="31"/>
      <c r="V52" s="31"/>
      <c r="W52" s="31"/>
      <c r="X52" s="31"/>
      <c r="Y52" s="31"/>
      <c r="Z52" s="31"/>
      <c r="AA52" s="31"/>
      <c r="AB52" s="31"/>
      <c r="AC52" s="31"/>
      <c r="AD52" s="31"/>
      <c r="AE52" s="31"/>
      <c r="AF52" s="31"/>
      <c r="AG52" s="31"/>
      <c r="AH52" s="31"/>
      <c r="AI52" s="31"/>
      <c r="AJ52" s="31"/>
      <c r="AK52" s="31"/>
      <c r="AL52" s="31"/>
      <c r="AM52" s="31"/>
      <c r="AN52" s="31"/>
      <c r="AO52" s="31"/>
      <c r="AP52" s="31"/>
      <c r="AS52" s="348"/>
      <c r="AT52" s="395"/>
      <c r="AU52" s="349"/>
      <c r="AV52" s="395"/>
      <c r="AW52" s="348"/>
      <c r="AX52" s="348"/>
      <c r="AY52" s="348"/>
      <c r="AZ52" s="348"/>
      <c r="BA52" s="348"/>
      <c r="BB52" s="348"/>
    </row>
    <row r="53" ht="15.75" customHeight="1">
      <c r="C53" s="12"/>
      <c r="D53" s="347"/>
      <c r="E53" s="347"/>
      <c r="F53" s="347"/>
      <c r="G53" s="347"/>
      <c r="I53" s="347"/>
      <c r="J53" s="347"/>
      <c r="K53" s="347"/>
      <c r="L53" s="347"/>
      <c r="M53" s="347"/>
      <c r="N53" s="347"/>
      <c r="O53" s="12" t="str">
        <f>image("https://i.imgur.com/vesvvn5.png",2)</f>
        <v/>
      </c>
      <c r="P53" s="347"/>
      <c r="Q53" s="347"/>
      <c r="R53" s="347"/>
      <c r="S53" s="347"/>
      <c r="T53" s="347"/>
      <c r="U53" s="347"/>
      <c r="V53" s="347"/>
      <c r="W53" s="347"/>
      <c r="X53" s="347"/>
      <c r="Y53" s="347"/>
      <c r="Z53" s="347"/>
      <c r="AA53" s="347"/>
      <c r="AB53" s="347"/>
      <c r="AC53" s="347"/>
      <c r="AD53" s="346" t="str">
        <f>image("https://i.imgur.com/3iztAPl.png",2)</f>
        <v/>
      </c>
      <c r="AE53" s="347"/>
      <c r="AF53" s="347"/>
      <c r="AG53" s="347"/>
      <c r="AH53" s="347"/>
      <c r="AI53" s="347"/>
      <c r="AJ53" s="347"/>
      <c r="AK53" s="347"/>
      <c r="AL53" s="347"/>
      <c r="AM53" s="347"/>
      <c r="AN53" s="347"/>
      <c r="AO53" s="347"/>
      <c r="AP53" s="347"/>
      <c r="AS53" s="348"/>
      <c r="AT53" s="395"/>
      <c r="AU53" s="349"/>
      <c r="AV53" s="395"/>
      <c r="AW53" s="348"/>
      <c r="AX53" s="348"/>
      <c r="AY53" s="348"/>
      <c r="AZ53" s="348"/>
      <c r="BA53" s="348"/>
      <c r="BB53" s="348"/>
    </row>
    <row r="54" ht="15.75" customHeight="1">
      <c r="B54" s="12" t="str">
        <f>image("https://i.imgur.com/dFmmAEm.png",2)</f>
        <v/>
      </c>
      <c r="C54" s="12"/>
      <c r="D54" s="347"/>
      <c r="E54" s="347"/>
      <c r="F54" s="347"/>
      <c r="G54" s="347"/>
      <c r="I54" s="347"/>
      <c r="J54" s="347"/>
      <c r="K54" s="347"/>
      <c r="L54" s="347"/>
      <c r="M54" s="347"/>
      <c r="N54" s="347"/>
      <c r="P54" s="406">
        <f>sum(C57:F77,Q57:T77,AE57:AH77)</f>
        <v>0</v>
      </c>
      <c r="Q54" s="25"/>
      <c r="R54" s="25"/>
      <c r="S54" s="25"/>
      <c r="T54" s="25"/>
      <c r="U54" s="25"/>
      <c r="V54" s="25"/>
      <c r="W54" s="25"/>
      <c r="X54" s="25"/>
      <c r="Y54" s="25"/>
      <c r="Z54" s="25"/>
      <c r="AA54" s="25"/>
      <c r="AB54" s="25"/>
      <c r="AC54" s="25"/>
      <c r="AE54" s="347"/>
      <c r="AF54" s="347"/>
      <c r="AG54" s="347"/>
      <c r="AH54" s="347"/>
      <c r="AI54" s="347"/>
      <c r="AJ54" s="347"/>
      <c r="AK54" s="347"/>
      <c r="AL54" s="347"/>
      <c r="AM54" s="347"/>
      <c r="AN54" s="347"/>
      <c r="AO54" s="347"/>
      <c r="AP54" s="347"/>
      <c r="AQ54" s="4" t="str">
        <f>image("https://i.imgur.com/M2OcRIZ.png",2)</f>
        <v/>
      </c>
      <c r="AS54" s="348"/>
      <c r="AT54" s="395"/>
      <c r="AU54" s="349"/>
      <c r="AV54" s="395"/>
      <c r="AW54" s="348"/>
      <c r="AX54" s="348"/>
      <c r="AY54" s="348"/>
      <c r="AZ54" s="348"/>
      <c r="BA54" s="348"/>
      <c r="BB54" s="348"/>
    </row>
    <row r="55" ht="15.75" customHeight="1">
      <c r="C55" s="357"/>
      <c r="D55" s="357"/>
      <c r="E55" s="357"/>
      <c r="F55" s="357"/>
      <c r="G55" s="357"/>
      <c r="H55" s="357"/>
      <c r="I55" s="357"/>
      <c r="J55" s="357"/>
      <c r="K55" s="357"/>
      <c r="L55" s="357"/>
      <c r="M55" s="357"/>
      <c r="N55" s="357"/>
      <c r="P55" s="31"/>
      <c r="Q55" s="31"/>
      <c r="R55" s="31"/>
      <c r="S55" s="31"/>
      <c r="T55" s="31"/>
      <c r="U55" s="31"/>
      <c r="V55" s="31"/>
      <c r="W55" s="31"/>
      <c r="X55" s="31"/>
      <c r="Y55" s="31"/>
      <c r="Z55" s="31"/>
      <c r="AA55" s="31"/>
      <c r="AB55" s="31"/>
      <c r="AC55" s="31"/>
      <c r="AE55" s="407" t="s">
        <v>246</v>
      </c>
      <c r="AF55" s="357"/>
      <c r="AG55" s="357"/>
      <c r="AH55" s="357"/>
      <c r="AI55" s="357"/>
      <c r="AJ55" s="357"/>
      <c r="AK55" s="357"/>
      <c r="AL55" s="357"/>
      <c r="AM55" s="357"/>
      <c r="AN55" s="357"/>
      <c r="AO55" s="357"/>
      <c r="AP55" s="357"/>
      <c r="AS55" s="348"/>
      <c r="AT55" s="395"/>
      <c r="AU55" s="349"/>
      <c r="AV55" s="395"/>
      <c r="AW55" s="348"/>
      <c r="AX55" s="348"/>
      <c r="AY55" s="348"/>
      <c r="AZ55" s="348"/>
      <c r="BA55" s="348"/>
      <c r="BB55" s="348"/>
    </row>
    <row r="56" ht="15.75" customHeight="1">
      <c r="C56" s="408" t="s">
        <v>247</v>
      </c>
      <c r="G56" s="409" t="s">
        <v>248</v>
      </c>
      <c r="O56" s="166"/>
      <c r="Q56" s="408" t="s">
        <v>247</v>
      </c>
      <c r="U56" s="409" t="s">
        <v>248</v>
      </c>
      <c r="AD56" s="166"/>
      <c r="AE56" s="408" t="s">
        <v>247</v>
      </c>
      <c r="AI56" s="409" t="s">
        <v>248</v>
      </c>
      <c r="AS56" s="348"/>
      <c r="AT56" s="395"/>
      <c r="AU56" s="349"/>
      <c r="AV56" s="395"/>
      <c r="AW56" s="348"/>
      <c r="AX56" s="348"/>
      <c r="AY56" s="348"/>
      <c r="AZ56" s="348"/>
      <c r="BA56" s="348"/>
      <c r="BB56" s="348"/>
    </row>
    <row r="57" ht="15.75" customHeight="1">
      <c r="C57" s="410"/>
      <c r="D57" s="74"/>
      <c r="E57" s="74"/>
      <c r="F57" s="74"/>
      <c r="G57" s="411"/>
      <c r="H57" s="74"/>
      <c r="I57" s="74"/>
      <c r="J57" s="74"/>
      <c r="K57" s="74"/>
      <c r="L57" s="74"/>
      <c r="M57" s="74"/>
      <c r="N57" s="74"/>
      <c r="O57" s="412"/>
      <c r="P57" s="413"/>
      <c r="Q57" s="410"/>
      <c r="R57" s="74"/>
      <c r="S57" s="74"/>
      <c r="T57" s="74"/>
      <c r="U57" s="414"/>
      <c r="V57" s="74"/>
      <c r="W57" s="74"/>
      <c r="X57" s="74"/>
      <c r="Y57" s="74"/>
      <c r="Z57" s="74"/>
      <c r="AA57" s="74"/>
      <c r="AB57" s="74"/>
      <c r="AC57" s="412"/>
      <c r="AD57" s="413"/>
      <c r="AE57" s="410"/>
      <c r="AF57" s="74"/>
      <c r="AG57" s="74"/>
      <c r="AH57" s="74"/>
      <c r="AI57" s="414"/>
      <c r="AJ57" s="74"/>
      <c r="AK57" s="74"/>
      <c r="AL57" s="74"/>
      <c r="AM57" s="74"/>
      <c r="AN57" s="74"/>
      <c r="AO57" s="74"/>
      <c r="AP57" s="74"/>
      <c r="AS57" s="348"/>
      <c r="AT57" s="395"/>
      <c r="AU57" s="349"/>
      <c r="AV57" s="395"/>
      <c r="AW57" s="348"/>
      <c r="AX57" s="348"/>
      <c r="AY57" s="348"/>
      <c r="AZ57" s="348"/>
      <c r="BA57" s="348"/>
      <c r="BB57" s="348"/>
    </row>
    <row r="58" ht="15.75" customHeight="1">
      <c r="C58" s="415"/>
      <c r="D58" s="74"/>
      <c r="E58" s="74"/>
      <c r="F58" s="74"/>
      <c r="G58" s="416"/>
      <c r="H58" s="74"/>
      <c r="I58" s="74"/>
      <c r="J58" s="74"/>
      <c r="K58" s="74"/>
      <c r="L58" s="74"/>
      <c r="M58" s="74"/>
      <c r="N58" s="74"/>
      <c r="O58" s="382"/>
      <c r="P58" s="417"/>
      <c r="Q58" s="415"/>
      <c r="R58" s="74"/>
      <c r="S58" s="74"/>
      <c r="T58" s="74"/>
      <c r="U58" s="416"/>
      <c r="V58" s="74"/>
      <c r="W58" s="74"/>
      <c r="X58" s="74"/>
      <c r="Y58" s="74"/>
      <c r="Z58" s="74"/>
      <c r="AA58" s="74"/>
      <c r="AB58" s="74"/>
      <c r="AC58" s="382"/>
      <c r="AD58" s="417"/>
      <c r="AE58" s="418"/>
      <c r="AF58" s="74"/>
      <c r="AG58" s="74"/>
      <c r="AH58" s="74"/>
      <c r="AI58" s="419"/>
      <c r="AJ58" s="74"/>
      <c r="AK58" s="74"/>
      <c r="AL58" s="74"/>
      <c r="AM58" s="74"/>
      <c r="AN58" s="74"/>
      <c r="AO58" s="74"/>
      <c r="AP58" s="74"/>
      <c r="AS58" s="348"/>
      <c r="AT58" s="395"/>
      <c r="AU58" s="349"/>
      <c r="AV58" s="395"/>
      <c r="AW58" s="348"/>
      <c r="AX58" s="348"/>
      <c r="AY58" s="348"/>
      <c r="AZ58" s="348"/>
      <c r="BA58" s="348"/>
      <c r="BB58" s="348"/>
    </row>
    <row r="59" ht="15.75" customHeight="1">
      <c r="C59" s="415"/>
      <c r="D59" s="74"/>
      <c r="E59" s="74"/>
      <c r="F59" s="74"/>
      <c r="G59" s="416"/>
      <c r="H59" s="74"/>
      <c r="I59" s="74"/>
      <c r="J59" s="74"/>
      <c r="K59" s="74"/>
      <c r="L59" s="74"/>
      <c r="M59" s="74"/>
      <c r="N59" s="74"/>
      <c r="O59" s="376"/>
      <c r="P59" s="417"/>
      <c r="Q59" s="415"/>
      <c r="R59" s="74"/>
      <c r="S59" s="74"/>
      <c r="T59" s="74"/>
      <c r="U59" s="416"/>
      <c r="V59" s="74"/>
      <c r="W59" s="74"/>
      <c r="X59" s="74"/>
      <c r="Y59" s="74"/>
      <c r="Z59" s="74"/>
      <c r="AA59" s="74"/>
      <c r="AB59" s="74"/>
      <c r="AC59" s="376"/>
      <c r="AD59" s="417"/>
      <c r="AE59" s="415"/>
      <c r="AF59" s="74"/>
      <c r="AG59" s="74"/>
      <c r="AH59" s="74"/>
      <c r="AI59" s="416"/>
      <c r="AJ59" s="74"/>
      <c r="AK59" s="74"/>
      <c r="AL59" s="74"/>
      <c r="AM59" s="74"/>
      <c r="AN59" s="74"/>
      <c r="AO59" s="74"/>
      <c r="AP59" s="74"/>
      <c r="AS59" s="348"/>
      <c r="AT59" s="395"/>
      <c r="AU59" s="349"/>
      <c r="AV59" s="395"/>
      <c r="AW59" s="348"/>
      <c r="AX59" s="348"/>
      <c r="AY59" s="348"/>
      <c r="AZ59" s="348"/>
      <c r="BA59" s="348"/>
      <c r="BB59" s="348"/>
    </row>
    <row r="60" ht="15.75" customHeight="1">
      <c r="C60" s="415"/>
      <c r="D60" s="74"/>
      <c r="E60" s="74"/>
      <c r="F60" s="74"/>
      <c r="G60" s="416"/>
      <c r="H60" s="74"/>
      <c r="I60" s="74"/>
      <c r="J60" s="74"/>
      <c r="K60" s="74"/>
      <c r="L60" s="74"/>
      <c r="M60" s="74"/>
      <c r="N60" s="74"/>
      <c r="O60" s="376"/>
      <c r="P60" s="417"/>
      <c r="Q60" s="415"/>
      <c r="R60" s="74"/>
      <c r="S60" s="74"/>
      <c r="T60" s="74"/>
      <c r="U60" s="416"/>
      <c r="V60" s="74"/>
      <c r="W60" s="74"/>
      <c r="X60" s="74"/>
      <c r="Y60" s="74"/>
      <c r="Z60" s="74"/>
      <c r="AA60" s="74"/>
      <c r="AB60" s="74"/>
      <c r="AC60" s="376"/>
      <c r="AD60" s="417"/>
      <c r="AE60" s="415"/>
      <c r="AF60" s="74"/>
      <c r="AG60" s="74"/>
      <c r="AH60" s="74"/>
      <c r="AI60" s="416"/>
      <c r="AJ60" s="74"/>
      <c r="AK60" s="74"/>
      <c r="AL60" s="74"/>
      <c r="AM60" s="74"/>
      <c r="AN60" s="74"/>
      <c r="AO60" s="74"/>
      <c r="AP60" s="74"/>
      <c r="AS60" s="348"/>
      <c r="AT60" s="395"/>
      <c r="AU60" s="349"/>
      <c r="AV60" s="395"/>
      <c r="AW60" s="348"/>
      <c r="AX60" s="348"/>
      <c r="AY60" s="348"/>
      <c r="AZ60" s="348"/>
      <c r="BA60" s="348"/>
      <c r="BB60" s="348"/>
    </row>
    <row r="61" ht="15.75" customHeight="1">
      <c r="C61" s="415"/>
      <c r="D61" s="74"/>
      <c r="E61" s="74"/>
      <c r="F61" s="74"/>
      <c r="G61" s="416"/>
      <c r="H61" s="74"/>
      <c r="I61" s="74"/>
      <c r="J61" s="74"/>
      <c r="K61" s="74"/>
      <c r="L61" s="74"/>
      <c r="M61" s="74"/>
      <c r="N61" s="74"/>
      <c r="O61" s="376"/>
      <c r="P61" s="417"/>
      <c r="Q61" s="415"/>
      <c r="R61" s="74"/>
      <c r="S61" s="74"/>
      <c r="T61" s="74"/>
      <c r="U61" s="416"/>
      <c r="V61" s="74"/>
      <c r="W61" s="74"/>
      <c r="X61" s="74"/>
      <c r="Y61" s="74"/>
      <c r="Z61" s="74"/>
      <c r="AA61" s="74"/>
      <c r="AB61" s="74"/>
      <c r="AC61" s="376"/>
      <c r="AD61" s="417"/>
      <c r="AE61" s="415"/>
      <c r="AF61" s="74"/>
      <c r="AG61" s="74"/>
      <c r="AH61" s="74"/>
      <c r="AI61" s="416"/>
      <c r="AJ61" s="74"/>
      <c r="AK61" s="74"/>
      <c r="AL61" s="74"/>
      <c r="AM61" s="74"/>
      <c r="AN61" s="74"/>
      <c r="AO61" s="74"/>
      <c r="AP61" s="74"/>
      <c r="AS61" s="348"/>
      <c r="AT61" s="395"/>
      <c r="AU61" s="349"/>
      <c r="AV61" s="395"/>
      <c r="AW61" s="348"/>
      <c r="AX61" s="348"/>
      <c r="AY61" s="348"/>
      <c r="AZ61" s="348"/>
      <c r="BA61" s="348"/>
      <c r="BB61" s="348"/>
    </row>
    <row r="62" ht="15.75" customHeight="1">
      <c r="C62" s="415"/>
      <c r="D62" s="74"/>
      <c r="E62" s="74"/>
      <c r="F62" s="74"/>
      <c r="G62" s="416"/>
      <c r="H62" s="74"/>
      <c r="I62" s="74"/>
      <c r="J62" s="74"/>
      <c r="K62" s="74"/>
      <c r="L62" s="74"/>
      <c r="M62" s="74"/>
      <c r="N62" s="74"/>
      <c r="O62" s="376"/>
      <c r="P62" s="417"/>
      <c r="Q62" s="415"/>
      <c r="R62" s="74"/>
      <c r="S62" s="74"/>
      <c r="T62" s="74"/>
      <c r="U62" s="416"/>
      <c r="V62" s="74"/>
      <c r="W62" s="74"/>
      <c r="X62" s="74"/>
      <c r="Y62" s="74"/>
      <c r="Z62" s="74"/>
      <c r="AA62" s="74"/>
      <c r="AB62" s="74"/>
      <c r="AC62" s="382"/>
      <c r="AD62" s="417"/>
      <c r="AE62" s="415"/>
      <c r="AF62" s="74"/>
      <c r="AG62" s="74"/>
      <c r="AH62" s="74"/>
      <c r="AI62" s="416"/>
      <c r="AJ62" s="74"/>
      <c r="AK62" s="74"/>
      <c r="AL62" s="74"/>
      <c r="AM62" s="74"/>
      <c r="AN62" s="74"/>
      <c r="AO62" s="74"/>
      <c r="AP62" s="74"/>
      <c r="AS62" s="348"/>
      <c r="AT62" s="395"/>
      <c r="AU62" s="349"/>
      <c r="AV62" s="395"/>
      <c r="AW62" s="348"/>
      <c r="AX62" s="348"/>
      <c r="AY62" s="348"/>
      <c r="AZ62" s="348"/>
      <c r="BA62" s="348"/>
      <c r="BB62" s="348"/>
    </row>
    <row r="63" ht="15.75" customHeight="1">
      <c r="C63" s="415"/>
      <c r="D63" s="74"/>
      <c r="E63" s="74"/>
      <c r="F63" s="74"/>
      <c r="G63" s="416"/>
      <c r="H63" s="74"/>
      <c r="I63" s="74"/>
      <c r="J63" s="74"/>
      <c r="K63" s="74"/>
      <c r="L63" s="74"/>
      <c r="M63" s="74"/>
      <c r="N63" s="74"/>
      <c r="O63" s="376"/>
      <c r="P63" s="417"/>
      <c r="Q63" s="418"/>
      <c r="R63" s="74"/>
      <c r="S63" s="74"/>
      <c r="T63" s="74"/>
      <c r="U63" s="419"/>
      <c r="V63" s="74"/>
      <c r="W63" s="74"/>
      <c r="X63" s="74"/>
      <c r="Y63" s="74"/>
      <c r="Z63" s="74"/>
      <c r="AA63" s="74"/>
      <c r="AB63" s="74"/>
      <c r="AC63" s="382"/>
      <c r="AD63" s="417"/>
      <c r="AE63" s="418"/>
      <c r="AF63" s="74"/>
      <c r="AG63" s="74"/>
      <c r="AH63" s="74"/>
      <c r="AI63" s="419"/>
      <c r="AJ63" s="74"/>
      <c r="AK63" s="74"/>
      <c r="AL63" s="74"/>
      <c r="AM63" s="74"/>
      <c r="AN63" s="74"/>
      <c r="AO63" s="74"/>
      <c r="AP63" s="74"/>
      <c r="AS63" s="348"/>
      <c r="AT63" s="395"/>
      <c r="AU63" s="349"/>
      <c r="AV63" s="395"/>
      <c r="AW63" s="348"/>
      <c r="AX63" s="348"/>
      <c r="AY63" s="348"/>
      <c r="AZ63" s="348"/>
      <c r="BA63" s="348"/>
      <c r="BB63" s="348"/>
    </row>
    <row r="64" ht="15.75" customHeight="1">
      <c r="C64" s="415"/>
      <c r="D64" s="74"/>
      <c r="E64" s="74"/>
      <c r="F64" s="74"/>
      <c r="G64" s="416"/>
      <c r="H64" s="74"/>
      <c r="I64" s="74"/>
      <c r="J64" s="74"/>
      <c r="K64" s="74"/>
      <c r="L64" s="74"/>
      <c r="M64" s="74"/>
      <c r="N64" s="74"/>
      <c r="O64" s="376"/>
      <c r="P64" s="417"/>
      <c r="Q64" s="415"/>
      <c r="R64" s="74"/>
      <c r="S64" s="74"/>
      <c r="T64" s="74"/>
      <c r="U64" s="416"/>
      <c r="V64" s="74"/>
      <c r="W64" s="74"/>
      <c r="X64" s="74"/>
      <c r="Y64" s="74"/>
      <c r="Z64" s="74"/>
      <c r="AA64" s="74"/>
      <c r="AB64" s="74"/>
      <c r="AC64" s="382"/>
      <c r="AD64" s="417"/>
      <c r="AE64" s="415"/>
      <c r="AF64" s="74"/>
      <c r="AG64" s="74"/>
      <c r="AH64" s="74"/>
      <c r="AI64" s="416"/>
      <c r="AJ64" s="74"/>
      <c r="AK64" s="74"/>
      <c r="AL64" s="74"/>
      <c r="AM64" s="74"/>
      <c r="AN64" s="74"/>
      <c r="AO64" s="74"/>
      <c r="AP64" s="74"/>
      <c r="AS64" s="348"/>
      <c r="AT64" s="395"/>
      <c r="AU64" s="349"/>
      <c r="AV64" s="395"/>
      <c r="AW64" s="348"/>
      <c r="AX64" s="348"/>
      <c r="AY64" s="348"/>
      <c r="AZ64" s="348"/>
      <c r="BA64" s="348"/>
      <c r="BB64" s="348"/>
    </row>
    <row r="65" ht="15.75" customHeight="1">
      <c r="C65" s="415"/>
      <c r="D65" s="74"/>
      <c r="E65" s="74"/>
      <c r="F65" s="74"/>
      <c r="G65" s="416"/>
      <c r="H65" s="74"/>
      <c r="I65" s="74"/>
      <c r="J65" s="74"/>
      <c r="K65" s="74"/>
      <c r="L65" s="74"/>
      <c r="M65" s="74"/>
      <c r="N65" s="74"/>
      <c r="O65" s="376"/>
      <c r="P65" s="417"/>
      <c r="Q65" s="418"/>
      <c r="R65" s="74"/>
      <c r="S65" s="74"/>
      <c r="T65" s="74"/>
      <c r="U65" s="419"/>
      <c r="V65" s="74"/>
      <c r="W65" s="74"/>
      <c r="X65" s="74"/>
      <c r="Y65" s="74"/>
      <c r="Z65" s="74"/>
      <c r="AA65" s="74"/>
      <c r="AB65" s="74"/>
      <c r="AC65" s="382"/>
      <c r="AD65" s="417"/>
      <c r="AE65" s="418"/>
      <c r="AF65" s="74"/>
      <c r="AG65" s="74"/>
      <c r="AH65" s="74"/>
      <c r="AI65" s="419"/>
      <c r="AJ65" s="74"/>
      <c r="AK65" s="74"/>
      <c r="AL65" s="74"/>
      <c r="AM65" s="74"/>
      <c r="AN65" s="74"/>
      <c r="AO65" s="74"/>
      <c r="AP65" s="74"/>
      <c r="AS65" s="348"/>
      <c r="AT65" s="395"/>
      <c r="AU65" s="349"/>
      <c r="AV65" s="395"/>
      <c r="AW65" s="348"/>
      <c r="AX65" s="348"/>
      <c r="AY65" s="348"/>
      <c r="AZ65" s="348"/>
      <c r="BA65" s="348"/>
      <c r="BB65" s="348"/>
    </row>
    <row r="66" ht="15.75" customHeight="1">
      <c r="C66" s="415"/>
      <c r="D66" s="74"/>
      <c r="E66" s="74"/>
      <c r="F66" s="74"/>
      <c r="G66" s="416"/>
      <c r="H66" s="74"/>
      <c r="I66" s="74"/>
      <c r="J66" s="74"/>
      <c r="K66" s="74"/>
      <c r="L66" s="74"/>
      <c r="M66" s="74"/>
      <c r="N66" s="74"/>
      <c r="O66" s="376"/>
      <c r="P66" s="417"/>
      <c r="Q66" s="418"/>
      <c r="R66" s="74"/>
      <c r="S66" s="74"/>
      <c r="T66" s="74"/>
      <c r="U66" s="419"/>
      <c r="V66" s="74"/>
      <c r="W66" s="74"/>
      <c r="X66" s="74"/>
      <c r="Y66" s="74"/>
      <c r="Z66" s="74"/>
      <c r="AA66" s="74"/>
      <c r="AB66" s="74"/>
      <c r="AC66" s="382"/>
      <c r="AD66" s="417"/>
      <c r="AE66" s="415"/>
      <c r="AF66" s="74"/>
      <c r="AG66" s="74"/>
      <c r="AH66" s="74"/>
      <c r="AI66" s="416"/>
      <c r="AJ66" s="74"/>
      <c r="AK66" s="74"/>
      <c r="AL66" s="74"/>
      <c r="AM66" s="74"/>
      <c r="AN66" s="74"/>
      <c r="AO66" s="74"/>
      <c r="AP66" s="74"/>
      <c r="AS66" s="348"/>
      <c r="AT66" s="395"/>
      <c r="AU66" s="349"/>
      <c r="AV66" s="395"/>
      <c r="AW66" s="348"/>
      <c r="AX66" s="348"/>
      <c r="AY66" s="348"/>
      <c r="AZ66" s="348"/>
      <c r="BA66" s="348"/>
      <c r="BB66" s="348"/>
    </row>
    <row r="67" ht="15.75" customHeight="1">
      <c r="C67" s="415"/>
      <c r="D67" s="74"/>
      <c r="E67" s="74"/>
      <c r="F67" s="74"/>
      <c r="G67" s="416"/>
      <c r="H67" s="74"/>
      <c r="I67" s="74"/>
      <c r="J67" s="74"/>
      <c r="K67" s="74"/>
      <c r="L67" s="74"/>
      <c r="M67" s="74"/>
      <c r="N67" s="74"/>
      <c r="O67" s="376"/>
      <c r="P67" s="417"/>
      <c r="Q67" s="418"/>
      <c r="R67" s="74"/>
      <c r="S67" s="74"/>
      <c r="T67" s="74"/>
      <c r="U67" s="419"/>
      <c r="V67" s="74"/>
      <c r="W67" s="74"/>
      <c r="X67" s="74"/>
      <c r="Y67" s="74"/>
      <c r="Z67" s="74"/>
      <c r="AA67" s="74"/>
      <c r="AB67" s="74"/>
      <c r="AC67" s="382"/>
      <c r="AD67" s="417"/>
      <c r="AE67" s="415"/>
      <c r="AF67" s="74"/>
      <c r="AG67" s="74"/>
      <c r="AH67" s="74"/>
      <c r="AI67" s="416"/>
      <c r="AJ67" s="74"/>
      <c r="AK67" s="74"/>
      <c r="AL67" s="74"/>
      <c r="AM67" s="74"/>
      <c r="AN67" s="74"/>
      <c r="AO67" s="74"/>
      <c r="AP67" s="74"/>
      <c r="AS67" s="348"/>
      <c r="AT67" s="395"/>
      <c r="AU67" s="349"/>
      <c r="AV67" s="395"/>
      <c r="AW67" s="348"/>
      <c r="AX67" s="348"/>
      <c r="AY67" s="348"/>
      <c r="AZ67" s="348"/>
      <c r="BA67" s="348"/>
      <c r="BB67" s="348"/>
    </row>
    <row r="68" ht="15.75" customHeight="1">
      <c r="C68" s="415"/>
      <c r="D68" s="74"/>
      <c r="E68" s="74"/>
      <c r="F68" s="74"/>
      <c r="G68" s="416"/>
      <c r="H68" s="74"/>
      <c r="I68" s="74"/>
      <c r="J68" s="74"/>
      <c r="K68" s="74"/>
      <c r="L68" s="74"/>
      <c r="M68" s="74"/>
      <c r="N68" s="74"/>
      <c r="O68" s="376"/>
      <c r="P68" s="417"/>
      <c r="Q68" s="418"/>
      <c r="R68" s="74"/>
      <c r="S68" s="74"/>
      <c r="T68" s="74"/>
      <c r="U68" s="419"/>
      <c r="V68" s="74"/>
      <c r="W68" s="74"/>
      <c r="X68" s="74"/>
      <c r="Y68" s="74"/>
      <c r="Z68" s="74"/>
      <c r="AA68" s="74"/>
      <c r="AB68" s="74"/>
      <c r="AC68" s="382"/>
      <c r="AD68" s="417"/>
      <c r="AE68" s="418"/>
      <c r="AF68" s="74"/>
      <c r="AG68" s="74"/>
      <c r="AH68" s="74"/>
      <c r="AI68" s="419"/>
      <c r="AJ68" s="74"/>
      <c r="AK68" s="74"/>
      <c r="AL68" s="74"/>
      <c r="AM68" s="74"/>
      <c r="AN68" s="74"/>
      <c r="AO68" s="74"/>
      <c r="AP68" s="74"/>
      <c r="AS68" s="348"/>
      <c r="AT68" s="395"/>
      <c r="AU68" s="349"/>
      <c r="AV68" s="395"/>
      <c r="AW68" s="348"/>
      <c r="AX68" s="348"/>
      <c r="AY68" s="348"/>
      <c r="AZ68" s="348"/>
      <c r="BA68" s="348"/>
      <c r="BB68" s="348"/>
    </row>
    <row r="69" ht="15.75" customHeight="1">
      <c r="C69" s="415"/>
      <c r="D69" s="74"/>
      <c r="E69" s="74"/>
      <c r="F69" s="74"/>
      <c r="G69" s="416"/>
      <c r="H69" s="74"/>
      <c r="I69" s="74"/>
      <c r="J69" s="74"/>
      <c r="K69" s="74"/>
      <c r="L69" s="74"/>
      <c r="M69" s="74"/>
      <c r="N69" s="74"/>
      <c r="O69" s="382"/>
      <c r="P69" s="417"/>
      <c r="Q69" s="418"/>
      <c r="R69" s="74"/>
      <c r="S69" s="74"/>
      <c r="T69" s="74"/>
      <c r="U69" s="419"/>
      <c r="V69" s="74"/>
      <c r="W69" s="74"/>
      <c r="X69" s="74"/>
      <c r="Y69" s="74"/>
      <c r="Z69" s="74"/>
      <c r="AA69" s="74"/>
      <c r="AB69" s="74"/>
      <c r="AC69" s="382"/>
      <c r="AD69" s="417"/>
      <c r="AE69" s="415"/>
      <c r="AF69" s="74"/>
      <c r="AG69" s="74"/>
      <c r="AH69" s="74"/>
      <c r="AI69" s="416"/>
      <c r="AJ69" s="74"/>
      <c r="AK69" s="74"/>
      <c r="AL69" s="74"/>
      <c r="AM69" s="74"/>
      <c r="AN69" s="74"/>
      <c r="AO69" s="74"/>
      <c r="AP69" s="74"/>
      <c r="AS69" s="348"/>
      <c r="AT69" s="395"/>
      <c r="AU69" s="349"/>
      <c r="AV69" s="395"/>
      <c r="AW69" s="348"/>
      <c r="AX69" s="348"/>
      <c r="AY69" s="348"/>
      <c r="AZ69" s="348"/>
      <c r="BA69" s="348"/>
      <c r="BB69" s="348"/>
    </row>
    <row r="70" ht="15.75" customHeight="1">
      <c r="C70" s="415"/>
      <c r="D70" s="74"/>
      <c r="E70" s="74"/>
      <c r="F70" s="74"/>
      <c r="G70" s="419"/>
      <c r="H70" s="74"/>
      <c r="I70" s="74"/>
      <c r="J70" s="74"/>
      <c r="K70" s="74"/>
      <c r="L70" s="74"/>
      <c r="M70" s="74"/>
      <c r="N70" s="74"/>
      <c r="O70" s="382"/>
      <c r="P70" s="417"/>
      <c r="Q70" s="418"/>
      <c r="R70" s="74"/>
      <c r="S70" s="74"/>
      <c r="T70" s="74"/>
      <c r="U70" s="419"/>
      <c r="V70" s="74"/>
      <c r="W70" s="74"/>
      <c r="X70" s="74"/>
      <c r="Y70" s="74"/>
      <c r="Z70" s="74"/>
      <c r="AA70" s="74"/>
      <c r="AB70" s="74"/>
      <c r="AC70" s="382"/>
      <c r="AD70" s="417"/>
      <c r="AE70" s="418"/>
      <c r="AF70" s="74"/>
      <c r="AG70" s="74"/>
      <c r="AH70" s="74"/>
      <c r="AI70" s="419"/>
      <c r="AJ70" s="74"/>
      <c r="AK70" s="74"/>
      <c r="AL70" s="74"/>
      <c r="AM70" s="74"/>
      <c r="AN70" s="74"/>
      <c r="AO70" s="74"/>
      <c r="AP70" s="74"/>
      <c r="AS70" s="348"/>
      <c r="AT70" s="395"/>
      <c r="AU70" s="349"/>
      <c r="AV70" s="395"/>
      <c r="AW70" s="348"/>
      <c r="AX70" s="348"/>
      <c r="AY70" s="348"/>
      <c r="AZ70" s="348"/>
      <c r="BA70" s="348"/>
      <c r="BB70" s="348"/>
    </row>
    <row r="71" ht="15.75" customHeight="1">
      <c r="C71" s="415"/>
      <c r="D71" s="74"/>
      <c r="E71" s="74"/>
      <c r="F71" s="74"/>
      <c r="G71" s="416"/>
      <c r="H71" s="74"/>
      <c r="I71" s="74"/>
      <c r="J71" s="74"/>
      <c r="K71" s="74"/>
      <c r="L71" s="74"/>
      <c r="M71" s="74"/>
      <c r="N71" s="74"/>
      <c r="O71" s="382"/>
      <c r="P71" s="417"/>
      <c r="Q71" s="418"/>
      <c r="R71" s="74"/>
      <c r="S71" s="74"/>
      <c r="T71" s="74"/>
      <c r="U71" s="419"/>
      <c r="V71" s="74"/>
      <c r="W71" s="74"/>
      <c r="X71" s="74"/>
      <c r="Y71" s="74"/>
      <c r="Z71" s="74"/>
      <c r="AA71" s="74"/>
      <c r="AB71" s="74"/>
      <c r="AC71" s="382"/>
      <c r="AD71" s="417"/>
      <c r="AE71" s="418"/>
      <c r="AF71" s="74"/>
      <c r="AG71" s="74"/>
      <c r="AH71" s="74"/>
      <c r="AI71" s="419"/>
      <c r="AJ71" s="74"/>
      <c r="AK71" s="74"/>
      <c r="AL71" s="74"/>
      <c r="AM71" s="74"/>
      <c r="AN71" s="74"/>
      <c r="AO71" s="74"/>
      <c r="AP71" s="74"/>
      <c r="AS71" s="348"/>
      <c r="AT71" s="395"/>
      <c r="AU71" s="349"/>
      <c r="AV71" s="395"/>
      <c r="AW71" s="348"/>
      <c r="AX71" s="348"/>
      <c r="AY71" s="348"/>
      <c r="AZ71" s="348"/>
      <c r="BA71" s="348"/>
      <c r="BB71" s="348"/>
    </row>
    <row r="72" ht="15.75" customHeight="1">
      <c r="C72" s="418"/>
      <c r="D72" s="74"/>
      <c r="E72" s="74"/>
      <c r="F72" s="74"/>
      <c r="G72" s="419"/>
      <c r="H72" s="74"/>
      <c r="I72" s="74"/>
      <c r="J72" s="74"/>
      <c r="K72" s="74"/>
      <c r="L72" s="74"/>
      <c r="M72" s="74"/>
      <c r="N72" s="74"/>
      <c r="O72" s="382"/>
      <c r="P72" s="417"/>
      <c r="Q72" s="418"/>
      <c r="R72" s="74"/>
      <c r="S72" s="74"/>
      <c r="T72" s="74"/>
      <c r="U72" s="419"/>
      <c r="V72" s="74"/>
      <c r="W72" s="74"/>
      <c r="X72" s="74"/>
      <c r="Y72" s="74"/>
      <c r="Z72" s="74"/>
      <c r="AA72" s="74"/>
      <c r="AB72" s="74"/>
      <c r="AC72" s="382"/>
      <c r="AD72" s="417"/>
      <c r="AE72" s="415"/>
      <c r="AF72" s="74"/>
      <c r="AG72" s="74"/>
      <c r="AH72" s="74"/>
      <c r="AI72" s="416"/>
      <c r="AJ72" s="74"/>
      <c r="AK72" s="74"/>
      <c r="AL72" s="74"/>
      <c r="AM72" s="74"/>
      <c r="AN72" s="74"/>
      <c r="AO72" s="74"/>
      <c r="AP72" s="74"/>
      <c r="AS72" s="348"/>
      <c r="AT72" s="395"/>
      <c r="AU72" s="349"/>
      <c r="AV72" s="395"/>
      <c r="AW72" s="348"/>
      <c r="AX72" s="348"/>
      <c r="AY72" s="348"/>
      <c r="AZ72" s="348"/>
      <c r="BA72" s="348"/>
      <c r="BB72" s="348"/>
    </row>
    <row r="73" ht="15.75" customHeight="1">
      <c r="C73" s="418"/>
      <c r="D73" s="74"/>
      <c r="E73" s="74"/>
      <c r="F73" s="74"/>
      <c r="G73" s="419"/>
      <c r="H73" s="74"/>
      <c r="I73" s="74"/>
      <c r="J73" s="74"/>
      <c r="K73" s="74"/>
      <c r="L73" s="74"/>
      <c r="M73" s="74"/>
      <c r="N73" s="74"/>
      <c r="O73" s="382"/>
      <c r="P73" s="417"/>
      <c r="Q73" s="418"/>
      <c r="R73" s="74"/>
      <c r="S73" s="74"/>
      <c r="T73" s="74"/>
      <c r="U73" s="419"/>
      <c r="V73" s="74"/>
      <c r="W73" s="74"/>
      <c r="X73" s="74"/>
      <c r="Y73" s="74"/>
      <c r="Z73" s="74"/>
      <c r="AA73" s="74"/>
      <c r="AB73" s="74"/>
      <c r="AC73" s="382"/>
      <c r="AD73" s="417"/>
      <c r="AE73" s="418"/>
      <c r="AF73" s="74"/>
      <c r="AG73" s="74"/>
      <c r="AH73" s="74"/>
      <c r="AI73" s="419"/>
      <c r="AJ73" s="74"/>
      <c r="AK73" s="74"/>
      <c r="AL73" s="74"/>
      <c r="AM73" s="74"/>
      <c r="AN73" s="74"/>
      <c r="AO73" s="74"/>
      <c r="AP73" s="74"/>
      <c r="AS73" s="348"/>
      <c r="AT73" s="395"/>
      <c r="AU73" s="349"/>
      <c r="AV73" s="395"/>
      <c r="AW73" s="348"/>
      <c r="AX73" s="348"/>
      <c r="AY73" s="348"/>
      <c r="AZ73" s="348"/>
      <c r="BA73" s="348"/>
      <c r="BB73" s="348"/>
    </row>
    <row r="74" ht="15.75" customHeight="1">
      <c r="C74" s="418"/>
      <c r="D74" s="74"/>
      <c r="E74" s="74"/>
      <c r="F74" s="74"/>
      <c r="G74" s="419"/>
      <c r="H74" s="74"/>
      <c r="I74" s="74"/>
      <c r="J74" s="74"/>
      <c r="K74" s="74"/>
      <c r="L74" s="74"/>
      <c r="M74" s="74"/>
      <c r="N74" s="74"/>
      <c r="O74" s="382"/>
      <c r="P74" s="417"/>
      <c r="Q74" s="418"/>
      <c r="R74" s="74"/>
      <c r="S74" s="74"/>
      <c r="T74" s="74"/>
      <c r="U74" s="419"/>
      <c r="V74" s="74"/>
      <c r="W74" s="74"/>
      <c r="X74" s="74"/>
      <c r="Y74" s="74"/>
      <c r="Z74" s="74"/>
      <c r="AA74" s="74"/>
      <c r="AB74" s="74"/>
      <c r="AC74" s="382"/>
      <c r="AD74" s="417"/>
      <c r="AE74" s="418"/>
      <c r="AF74" s="74"/>
      <c r="AG74" s="74"/>
      <c r="AH74" s="74"/>
      <c r="AI74" s="419"/>
      <c r="AJ74" s="74"/>
      <c r="AK74" s="74"/>
      <c r="AL74" s="74"/>
      <c r="AM74" s="74"/>
      <c r="AN74" s="74"/>
      <c r="AO74" s="74"/>
      <c r="AP74" s="74"/>
      <c r="AS74" s="348"/>
      <c r="AT74" s="395"/>
      <c r="AU74" s="349"/>
      <c r="AV74" s="395"/>
      <c r="AW74" s="348"/>
      <c r="AX74" s="348"/>
      <c r="AY74" s="348"/>
      <c r="AZ74" s="348"/>
      <c r="BA74" s="348"/>
      <c r="BB74" s="348"/>
    </row>
    <row r="75" ht="15.75" customHeight="1">
      <c r="C75" s="415"/>
      <c r="D75" s="74"/>
      <c r="E75" s="74"/>
      <c r="F75" s="74"/>
      <c r="G75" s="416"/>
      <c r="H75" s="74"/>
      <c r="I75" s="74"/>
      <c r="J75" s="74"/>
      <c r="K75" s="74"/>
      <c r="L75" s="74"/>
      <c r="M75" s="74"/>
      <c r="N75" s="74"/>
      <c r="O75" s="382"/>
      <c r="P75" s="417"/>
      <c r="Q75" s="418"/>
      <c r="R75" s="74"/>
      <c r="S75" s="74"/>
      <c r="T75" s="74"/>
      <c r="U75" s="419"/>
      <c r="V75" s="74"/>
      <c r="W75" s="74"/>
      <c r="X75" s="74"/>
      <c r="Y75" s="74"/>
      <c r="Z75" s="74"/>
      <c r="AA75" s="74"/>
      <c r="AB75" s="74"/>
      <c r="AC75" s="382"/>
      <c r="AD75" s="417"/>
      <c r="AE75" s="418"/>
      <c r="AF75" s="74"/>
      <c r="AG75" s="74"/>
      <c r="AH75" s="74"/>
      <c r="AI75" s="419"/>
      <c r="AJ75" s="74"/>
      <c r="AK75" s="74"/>
      <c r="AL75" s="74"/>
      <c r="AM75" s="74"/>
      <c r="AN75" s="74"/>
      <c r="AO75" s="74"/>
      <c r="AP75" s="74"/>
      <c r="AS75" s="348"/>
      <c r="AT75" s="395"/>
      <c r="AU75" s="349"/>
      <c r="AV75" s="395"/>
      <c r="AW75" s="348"/>
      <c r="AX75" s="348"/>
      <c r="AY75" s="348"/>
      <c r="AZ75" s="348"/>
      <c r="BA75" s="348"/>
      <c r="BB75" s="348"/>
    </row>
    <row r="76" ht="15.75" customHeight="1">
      <c r="C76" s="418"/>
      <c r="D76" s="74"/>
      <c r="E76" s="74"/>
      <c r="F76" s="74"/>
      <c r="G76" s="419"/>
      <c r="H76" s="74"/>
      <c r="I76" s="74"/>
      <c r="J76" s="74"/>
      <c r="K76" s="74"/>
      <c r="L76" s="74"/>
      <c r="M76" s="74"/>
      <c r="N76" s="74"/>
      <c r="O76" s="382"/>
      <c r="P76" s="417"/>
      <c r="Q76" s="418"/>
      <c r="R76" s="74"/>
      <c r="S76" s="74"/>
      <c r="T76" s="74"/>
      <c r="U76" s="419"/>
      <c r="V76" s="74"/>
      <c r="W76" s="74"/>
      <c r="X76" s="74"/>
      <c r="Y76" s="74"/>
      <c r="Z76" s="74"/>
      <c r="AA76" s="74"/>
      <c r="AB76" s="74"/>
      <c r="AC76" s="382"/>
      <c r="AD76" s="417"/>
      <c r="AE76" s="418"/>
      <c r="AF76" s="74"/>
      <c r="AG76" s="74"/>
      <c r="AH76" s="74"/>
      <c r="AI76" s="419"/>
      <c r="AJ76" s="74"/>
      <c r="AK76" s="74"/>
      <c r="AL76" s="74"/>
      <c r="AM76" s="74"/>
      <c r="AN76" s="74"/>
      <c r="AO76" s="74"/>
      <c r="AP76" s="74"/>
      <c r="AS76" s="348"/>
      <c r="AT76" s="395"/>
      <c r="AU76" s="349"/>
      <c r="AV76" s="395"/>
      <c r="AW76" s="348"/>
      <c r="AX76" s="348"/>
      <c r="AY76" s="348"/>
      <c r="AZ76" s="348"/>
      <c r="BA76" s="348"/>
      <c r="BB76" s="348"/>
    </row>
    <row r="77" ht="15.75" customHeight="1">
      <c r="C77" s="415"/>
      <c r="D77" s="74"/>
      <c r="E77" s="74"/>
      <c r="F77" s="74"/>
      <c r="G77" s="416"/>
      <c r="H77" s="74"/>
      <c r="I77" s="74"/>
      <c r="J77" s="74"/>
      <c r="K77" s="74"/>
      <c r="L77" s="74"/>
      <c r="M77" s="74"/>
      <c r="N77" s="74"/>
      <c r="O77" s="382"/>
      <c r="P77" s="417"/>
      <c r="Q77" s="418"/>
      <c r="R77" s="74"/>
      <c r="S77" s="74"/>
      <c r="T77" s="74"/>
      <c r="U77" s="419"/>
      <c r="V77" s="74"/>
      <c r="W77" s="74"/>
      <c r="X77" s="74"/>
      <c r="Y77" s="74"/>
      <c r="Z77" s="74"/>
      <c r="AA77" s="74"/>
      <c r="AB77" s="74"/>
      <c r="AC77" s="382"/>
      <c r="AD77" s="417"/>
      <c r="AE77" s="415"/>
      <c r="AF77" s="74"/>
      <c r="AG77" s="74"/>
      <c r="AH77" s="74"/>
      <c r="AI77" s="416"/>
      <c r="AJ77" s="74"/>
      <c r="AK77" s="74"/>
      <c r="AL77" s="74"/>
      <c r="AM77" s="74"/>
      <c r="AN77" s="74"/>
      <c r="AO77" s="74"/>
      <c r="AP77" s="74"/>
      <c r="AS77" s="348"/>
      <c r="AT77" s="395"/>
      <c r="AU77" s="349"/>
      <c r="AV77" s="395"/>
      <c r="AW77" s="348"/>
      <c r="AX77" s="348"/>
      <c r="AY77" s="348"/>
      <c r="AZ77" s="348"/>
      <c r="BA77" s="348"/>
      <c r="BB77" s="348"/>
    </row>
    <row r="78" ht="15.75" customHeight="1">
      <c r="C78" s="405" t="s">
        <v>246</v>
      </c>
      <c r="D78" s="31"/>
      <c r="E78" s="31"/>
      <c r="F78" s="31"/>
      <c r="G78" s="31"/>
      <c r="H78" s="31"/>
      <c r="I78" s="31"/>
      <c r="J78" s="31"/>
      <c r="K78" s="31"/>
      <c r="L78" s="31"/>
      <c r="M78" s="31"/>
      <c r="N78" s="31"/>
      <c r="O78" s="31"/>
      <c r="P78" s="31"/>
      <c r="Q78" s="31"/>
      <c r="R78" s="31"/>
      <c r="S78" s="31"/>
      <c r="T78" s="31"/>
      <c r="U78" s="31"/>
      <c r="V78" s="31"/>
      <c r="W78" s="31"/>
      <c r="X78" s="31"/>
      <c r="Y78" s="31"/>
      <c r="Z78" s="31"/>
      <c r="AA78" s="31"/>
      <c r="AB78" s="31"/>
      <c r="AC78" s="31"/>
      <c r="AD78" s="31"/>
      <c r="AE78" s="31"/>
      <c r="AF78" s="31"/>
      <c r="AG78" s="31"/>
      <c r="AH78" s="31"/>
      <c r="AI78" s="31"/>
      <c r="AJ78" s="31"/>
      <c r="AK78" s="31"/>
      <c r="AL78" s="31"/>
      <c r="AM78" s="31"/>
      <c r="AN78" s="31"/>
      <c r="AO78" s="31"/>
      <c r="AP78" s="31"/>
      <c r="AS78" s="348"/>
      <c r="AT78" s="395"/>
      <c r="AU78" s="349"/>
      <c r="AV78" s="395"/>
      <c r="AW78" s="348"/>
      <c r="AX78" s="348"/>
      <c r="AY78" s="348"/>
      <c r="AZ78" s="348"/>
      <c r="BA78" s="348"/>
      <c r="BB78" s="348"/>
    </row>
    <row r="79" ht="15.75" customHeight="1">
      <c r="C79" s="12"/>
      <c r="D79" s="347"/>
      <c r="E79" s="347"/>
      <c r="F79" s="347"/>
      <c r="G79" s="347"/>
      <c r="I79" s="347"/>
      <c r="J79" s="347"/>
      <c r="K79" s="347"/>
      <c r="L79" s="347"/>
      <c r="M79" s="347"/>
      <c r="N79" s="347"/>
      <c r="O79" s="347"/>
      <c r="P79" s="347"/>
      <c r="Q79" s="347"/>
      <c r="R79" s="347"/>
      <c r="S79" s="347"/>
      <c r="T79" s="347"/>
      <c r="U79" s="347"/>
      <c r="V79" s="347"/>
      <c r="W79" s="347"/>
      <c r="X79" s="347"/>
      <c r="Y79" s="347"/>
      <c r="Z79" s="347"/>
      <c r="AA79" s="347"/>
      <c r="AB79" s="347"/>
      <c r="AC79" s="347"/>
      <c r="AD79" s="347"/>
      <c r="AE79" s="347"/>
      <c r="AF79" s="347"/>
      <c r="AG79" s="347"/>
      <c r="AH79" s="347"/>
      <c r="AI79" s="347"/>
      <c r="AJ79" s="347"/>
      <c r="AK79" s="347"/>
      <c r="AL79" s="347"/>
      <c r="AM79" s="347"/>
      <c r="AN79" s="347"/>
      <c r="AO79" s="347"/>
      <c r="AP79" s="347"/>
      <c r="AS79" s="348"/>
      <c r="AT79" s="395"/>
      <c r="AU79" s="349"/>
      <c r="AV79" s="395"/>
      <c r="AW79" s="348"/>
      <c r="AX79" s="348"/>
      <c r="AY79" s="348"/>
      <c r="AZ79" s="348"/>
      <c r="BA79" s="348"/>
      <c r="BB79" s="348"/>
    </row>
  </sheetData>
  <mergeCells count="573">
    <mergeCell ref="AM21:AN21"/>
    <mergeCell ref="AO21:AP21"/>
    <mergeCell ref="AM22:AN22"/>
    <mergeCell ref="AO22:AP22"/>
    <mergeCell ref="AM23:AN23"/>
    <mergeCell ref="AO23:AP23"/>
    <mergeCell ref="AM24:AN24"/>
    <mergeCell ref="AO24:AP24"/>
    <mergeCell ref="AM25:AN25"/>
    <mergeCell ref="AO25:AP25"/>
    <mergeCell ref="AM1:AM4"/>
    <mergeCell ref="AQ2:AQ27"/>
    <mergeCell ref="AN3:AP3"/>
    <mergeCell ref="AM5:AN5"/>
    <mergeCell ref="AO5:AP5"/>
    <mergeCell ref="AM6:AN6"/>
    <mergeCell ref="AO6:AP6"/>
    <mergeCell ref="AM14:AN14"/>
    <mergeCell ref="AO14:AP14"/>
    <mergeCell ref="AM15:AN15"/>
    <mergeCell ref="AO15:AP15"/>
    <mergeCell ref="AM16:AN16"/>
    <mergeCell ref="AO16:AP16"/>
    <mergeCell ref="AM17:AN17"/>
    <mergeCell ref="AO17:AP17"/>
    <mergeCell ref="AM18:AN18"/>
    <mergeCell ref="AO18:AP18"/>
    <mergeCell ref="AM19:AN19"/>
    <mergeCell ref="AO19:AP19"/>
    <mergeCell ref="AM20:AN20"/>
    <mergeCell ref="AO20:AP20"/>
    <mergeCell ref="AF12:AL12"/>
    <mergeCell ref="AF13:AL13"/>
    <mergeCell ref="AF14:AL14"/>
    <mergeCell ref="AF15:AL15"/>
    <mergeCell ref="AF16:AL16"/>
    <mergeCell ref="AF17:AL17"/>
    <mergeCell ref="AF18:AL18"/>
    <mergeCell ref="AF19:AL19"/>
    <mergeCell ref="AF20:AL20"/>
    <mergeCell ref="AF21:AL21"/>
    <mergeCell ref="AF22:AL22"/>
    <mergeCell ref="AF23:AL23"/>
    <mergeCell ref="AF24:AL24"/>
    <mergeCell ref="AF25:AL25"/>
    <mergeCell ref="R6:X6"/>
    <mergeCell ref="Y6:Z6"/>
    <mergeCell ref="AA6:AB6"/>
    <mergeCell ref="AF6:AL6"/>
    <mergeCell ref="Y7:Z7"/>
    <mergeCell ref="AA7:AB7"/>
    <mergeCell ref="AF7:AL7"/>
    <mergeCell ref="R7:X7"/>
    <mergeCell ref="R8:X8"/>
    <mergeCell ref="Y8:Z8"/>
    <mergeCell ref="AA8:AB8"/>
    <mergeCell ref="R9:X9"/>
    <mergeCell ref="Y9:Z9"/>
    <mergeCell ref="AA9:AB9"/>
    <mergeCell ref="R10:X10"/>
    <mergeCell ref="Y10:Z10"/>
    <mergeCell ref="AA10:AB10"/>
    <mergeCell ref="AF10:AL10"/>
    <mergeCell ref="Y11:Z11"/>
    <mergeCell ref="AA11:AB11"/>
    <mergeCell ref="AF11:AL11"/>
    <mergeCell ref="R11:X11"/>
    <mergeCell ref="R12:X12"/>
    <mergeCell ref="Y12:Z12"/>
    <mergeCell ref="AA12:AB12"/>
    <mergeCell ref="R13:X13"/>
    <mergeCell ref="Y13:Z13"/>
    <mergeCell ref="AA13:AB13"/>
    <mergeCell ref="Y16:Z16"/>
    <mergeCell ref="AA16:AB16"/>
    <mergeCell ref="R14:X14"/>
    <mergeCell ref="Y14:Z14"/>
    <mergeCell ref="AA14:AB14"/>
    <mergeCell ref="R15:X15"/>
    <mergeCell ref="Y15:Z15"/>
    <mergeCell ref="AA15:AB15"/>
    <mergeCell ref="R16:X16"/>
    <mergeCell ref="AD26:AI26"/>
    <mergeCell ref="AK26:AP26"/>
    <mergeCell ref="AM7:AN7"/>
    <mergeCell ref="AO7:AP7"/>
    <mergeCell ref="AM8:AN8"/>
    <mergeCell ref="AO8:AP8"/>
    <mergeCell ref="AM9:AN9"/>
    <mergeCell ref="AO9:AP9"/>
    <mergeCell ref="AM10:AN10"/>
    <mergeCell ref="AO10:AP10"/>
    <mergeCell ref="AM11:AN11"/>
    <mergeCell ref="AO11:AP11"/>
    <mergeCell ref="AM12:AN12"/>
    <mergeCell ref="AO12:AP12"/>
    <mergeCell ref="AM31:AN31"/>
    <mergeCell ref="AO31:AP31"/>
    <mergeCell ref="AM32:AN32"/>
    <mergeCell ref="AO32:AP32"/>
    <mergeCell ref="AM33:AN33"/>
    <mergeCell ref="AO33:AP33"/>
    <mergeCell ref="AM34:AN34"/>
    <mergeCell ref="AO34:AP34"/>
    <mergeCell ref="AM35:AN35"/>
    <mergeCell ref="AO35:AP35"/>
    <mergeCell ref="AM36:AN36"/>
    <mergeCell ref="AO36:AP36"/>
    <mergeCell ref="AM37:AN37"/>
    <mergeCell ref="AO37:AP37"/>
    <mergeCell ref="AM38:AN38"/>
    <mergeCell ref="AO38:AP38"/>
    <mergeCell ref="AM46:AN46"/>
    <mergeCell ref="AO46:AP46"/>
    <mergeCell ref="AM47:AN47"/>
    <mergeCell ref="AO47:AP47"/>
    <mergeCell ref="AM48:AN48"/>
    <mergeCell ref="AO48:AP48"/>
    <mergeCell ref="AM49:AN49"/>
    <mergeCell ref="AO49:AP49"/>
    <mergeCell ref="AM50:AN50"/>
    <mergeCell ref="AO50:AP50"/>
    <mergeCell ref="AM51:AN51"/>
    <mergeCell ref="AO51:AP51"/>
    <mergeCell ref="AM13:AN13"/>
    <mergeCell ref="AO13:AP13"/>
    <mergeCell ref="AQ28:AQ53"/>
    <mergeCell ref="AM29:AN29"/>
    <mergeCell ref="AO29:AP29"/>
    <mergeCell ref="AM30:AN30"/>
    <mergeCell ref="AO30:AP30"/>
    <mergeCell ref="AQ54:AQ79"/>
    <mergeCell ref="AM39:AN39"/>
    <mergeCell ref="AO39:AP39"/>
    <mergeCell ref="AM40:AN40"/>
    <mergeCell ref="AO40:AP40"/>
    <mergeCell ref="AM41:AN41"/>
    <mergeCell ref="AO41:AP41"/>
    <mergeCell ref="AM42:AN42"/>
    <mergeCell ref="AO42:AP42"/>
    <mergeCell ref="AM43:AN43"/>
    <mergeCell ref="AO43:AP43"/>
    <mergeCell ref="AM44:AN44"/>
    <mergeCell ref="AO44:AP44"/>
    <mergeCell ref="AM45:AN45"/>
    <mergeCell ref="AO45:AP45"/>
    <mergeCell ref="G29:J29"/>
    <mergeCell ref="D31:J31"/>
    <mergeCell ref="K31:L31"/>
    <mergeCell ref="M31:N31"/>
    <mergeCell ref="D32:J32"/>
    <mergeCell ref="K32:L32"/>
    <mergeCell ref="M32:N32"/>
    <mergeCell ref="D33:J33"/>
    <mergeCell ref="K33:L33"/>
    <mergeCell ref="M33:N33"/>
    <mergeCell ref="D34:J34"/>
    <mergeCell ref="K34:L34"/>
    <mergeCell ref="M34:N34"/>
    <mergeCell ref="D35:J35"/>
    <mergeCell ref="K35:L35"/>
    <mergeCell ref="M35:N35"/>
    <mergeCell ref="D36:J36"/>
    <mergeCell ref="K36:L36"/>
    <mergeCell ref="M36:N36"/>
    <mergeCell ref="D37:J37"/>
    <mergeCell ref="K37:L37"/>
    <mergeCell ref="M37:N37"/>
    <mergeCell ref="D38:J38"/>
    <mergeCell ref="K38:L38"/>
    <mergeCell ref="M38:N38"/>
    <mergeCell ref="D39:J39"/>
    <mergeCell ref="K39:L39"/>
    <mergeCell ref="M39:N39"/>
    <mergeCell ref="D40:J40"/>
    <mergeCell ref="K40:L40"/>
    <mergeCell ref="M40:N40"/>
    <mergeCell ref="D41:J41"/>
    <mergeCell ref="K41:L41"/>
    <mergeCell ref="M41:N41"/>
    <mergeCell ref="D42:J42"/>
    <mergeCell ref="K42:L42"/>
    <mergeCell ref="D44:J44"/>
    <mergeCell ref="K44:L44"/>
    <mergeCell ref="M42:N42"/>
    <mergeCell ref="D43:J43"/>
    <mergeCell ref="K43:L43"/>
    <mergeCell ref="M43:N43"/>
    <mergeCell ref="M44:N44"/>
    <mergeCell ref="D45:J45"/>
    <mergeCell ref="K45:L45"/>
    <mergeCell ref="M45:N45"/>
    <mergeCell ref="D46:J46"/>
    <mergeCell ref="K46:L46"/>
    <mergeCell ref="M46:N46"/>
    <mergeCell ref="D47:J47"/>
    <mergeCell ref="K47:L47"/>
    <mergeCell ref="M47:N47"/>
    <mergeCell ref="D48:J48"/>
    <mergeCell ref="K48:L48"/>
    <mergeCell ref="M48:N48"/>
    <mergeCell ref="D49:J49"/>
    <mergeCell ref="K49:L49"/>
    <mergeCell ref="M49:N49"/>
    <mergeCell ref="D50:J50"/>
    <mergeCell ref="K50:L50"/>
    <mergeCell ref="C56:F56"/>
    <mergeCell ref="C57:F57"/>
    <mergeCell ref="G57:N57"/>
    <mergeCell ref="C58:F58"/>
    <mergeCell ref="G58:N58"/>
    <mergeCell ref="C59:F59"/>
    <mergeCell ref="G59:N59"/>
    <mergeCell ref="C60:F60"/>
    <mergeCell ref="G60:N60"/>
    <mergeCell ref="C61:F61"/>
    <mergeCell ref="G61:N61"/>
    <mergeCell ref="C62:F62"/>
    <mergeCell ref="G62:N62"/>
    <mergeCell ref="C63:F63"/>
    <mergeCell ref="G63:N63"/>
    <mergeCell ref="C64:F64"/>
    <mergeCell ref="G64:N64"/>
    <mergeCell ref="C65:F65"/>
    <mergeCell ref="G65:N65"/>
    <mergeCell ref="C66:F66"/>
    <mergeCell ref="G66:N66"/>
    <mergeCell ref="C67:F67"/>
    <mergeCell ref="G67:N67"/>
    <mergeCell ref="C68:F68"/>
    <mergeCell ref="G68:N68"/>
    <mergeCell ref="C69:F69"/>
    <mergeCell ref="G69:N69"/>
    <mergeCell ref="C70:F70"/>
    <mergeCell ref="G70:N70"/>
    <mergeCell ref="D24:J24"/>
    <mergeCell ref="K24:L24"/>
    <mergeCell ref="B28:B53"/>
    <mergeCell ref="D29:F29"/>
    <mergeCell ref="K29:L29"/>
    <mergeCell ref="M29:N29"/>
    <mergeCell ref="M30:N30"/>
    <mergeCell ref="M50:N50"/>
    <mergeCell ref="D51:J51"/>
    <mergeCell ref="K51:L51"/>
    <mergeCell ref="M51:N51"/>
    <mergeCell ref="O53:O56"/>
    <mergeCell ref="B54:B79"/>
    <mergeCell ref="G56:N56"/>
    <mergeCell ref="C71:F71"/>
    <mergeCell ref="G71:N71"/>
    <mergeCell ref="C72:F72"/>
    <mergeCell ref="G72:N72"/>
    <mergeCell ref="C73:F73"/>
    <mergeCell ref="G73:N73"/>
    <mergeCell ref="C74:F74"/>
    <mergeCell ref="G74:N74"/>
    <mergeCell ref="C75:F75"/>
    <mergeCell ref="G75:N75"/>
    <mergeCell ref="C76:F76"/>
    <mergeCell ref="G76:N76"/>
    <mergeCell ref="C77:F77"/>
    <mergeCell ref="G77:N77"/>
    <mergeCell ref="Y19:Z19"/>
    <mergeCell ref="AA19:AB19"/>
    <mergeCell ref="R17:X17"/>
    <mergeCell ref="Y17:Z17"/>
    <mergeCell ref="AA17:AB17"/>
    <mergeCell ref="R18:X18"/>
    <mergeCell ref="Y18:Z18"/>
    <mergeCell ref="AA18:AB18"/>
    <mergeCell ref="R19:X19"/>
    <mergeCell ref="Y22:Z22"/>
    <mergeCell ref="AA22:AB22"/>
    <mergeCell ref="R20:X20"/>
    <mergeCell ref="Y20:Z20"/>
    <mergeCell ref="AA20:AB20"/>
    <mergeCell ref="R21:X21"/>
    <mergeCell ref="Y21:Z21"/>
    <mergeCell ref="AA21:AB21"/>
    <mergeCell ref="R22:X22"/>
    <mergeCell ref="R23:X23"/>
    <mergeCell ref="Y23:Z23"/>
    <mergeCell ref="AA23:AB23"/>
    <mergeCell ref="R24:X24"/>
    <mergeCell ref="Y24:Z24"/>
    <mergeCell ref="AA24:AB24"/>
    <mergeCell ref="R25:X25"/>
    <mergeCell ref="P26:AC26"/>
    <mergeCell ref="Y25:Z25"/>
    <mergeCell ref="AA25:AB25"/>
    <mergeCell ref="U29:X29"/>
    <mergeCell ref="Y29:Z29"/>
    <mergeCell ref="AA29:AB29"/>
    <mergeCell ref="AF29:AH29"/>
    <mergeCell ref="AI29:AL29"/>
    <mergeCell ref="AF32:AL32"/>
    <mergeCell ref="AF33:AL33"/>
    <mergeCell ref="R30:X30"/>
    <mergeCell ref="Y30:Z30"/>
    <mergeCell ref="AA30:AB30"/>
    <mergeCell ref="AF30:AL30"/>
    <mergeCell ref="Y31:Z31"/>
    <mergeCell ref="AA31:AB31"/>
    <mergeCell ref="AF31:AL31"/>
    <mergeCell ref="R31:X31"/>
    <mergeCell ref="R32:X32"/>
    <mergeCell ref="Y32:Z32"/>
    <mergeCell ref="AA32:AB32"/>
    <mergeCell ref="R33:X33"/>
    <mergeCell ref="Y33:Z33"/>
    <mergeCell ref="AA33:AB33"/>
    <mergeCell ref="R34:X34"/>
    <mergeCell ref="Y34:Z34"/>
    <mergeCell ref="AA34:AB34"/>
    <mergeCell ref="AF34:AL34"/>
    <mergeCell ref="Y35:Z35"/>
    <mergeCell ref="AA35:AB35"/>
    <mergeCell ref="AF35:AL35"/>
    <mergeCell ref="R35:X35"/>
    <mergeCell ref="R36:X36"/>
    <mergeCell ref="Y36:Z36"/>
    <mergeCell ref="AA36:AB36"/>
    <mergeCell ref="R37:X37"/>
    <mergeCell ref="Y37:Z37"/>
    <mergeCell ref="AA37:AB37"/>
    <mergeCell ref="Y40:Z40"/>
    <mergeCell ref="AA40:AB40"/>
    <mergeCell ref="R38:X38"/>
    <mergeCell ref="Y38:Z38"/>
    <mergeCell ref="AA38:AB38"/>
    <mergeCell ref="R39:X39"/>
    <mergeCell ref="Y39:Z39"/>
    <mergeCell ref="AA39:AB39"/>
    <mergeCell ref="R40:X40"/>
    <mergeCell ref="AF36:AL36"/>
    <mergeCell ref="AF37:AL37"/>
    <mergeCell ref="AF38:AL38"/>
    <mergeCell ref="AF39:AL39"/>
    <mergeCell ref="AF40:AL40"/>
    <mergeCell ref="AF41:AL41"/>
    <mergeCell ref="AF42:AL42"/>
    <mergeCell ref="Q64:T64"/>
    <mergeCell ref="U64:AB64"/>
    <mergeCell ref="AE64:AH64"/>
    <mergeCell ref="AI64:AP64"/>
    <mergeCell ref="U65:AB65"/>
    <mergeCell ref="AE65:AH65"/>
    <mergeCell ref="AI65:AP65"/>
    <mergeCell ref="Q65:T65"/>
    <mergeCell ref="Q66:T66"/>
    <mergeCell ref="U66:AB66"/>
    <mergeCell ref="AE66:AH66"/>
    <mergeCell ref="AI66:AP66"/>
    <mergeCell ref="Q67:T67"/>
    <mergeCell ref="U67:AB67"/>
    <mergeCell ref="AE68:AH68"/>
    <mergeCell ref="AE69:AH69"/>
    <mergeCell ref="AE67:AH67"/>
    <mergeCell ref="AI67:AP67"/>
    <mergeCell ref="Q68:T68"/>
    <mergeCell ref="U68:AB68"/>
    <mergeCell ref="AI68:AP68"/>
    <mergeCell ref="U69:AB69"/>
    <mergeCell ref="AI69:AP69"/>
    <mergeCell ref="AE71:AH71"/>
    <mergeCell ref="AI71:AP71"/>
    <mergeCell ref="Q69:T69"/>
    <mergeCell ref="Q70:T70"/>
    <mergeCell ref="U70:AB70"/>
    <mergeCell ref="AE70:AH70"/>
    <mergeCell ref="AI70:AP70"/>
    <mergeCell ref="Q71:T71"/>
    <mergeCell ref="U71:AB71"/>
    <mergeCell ref="Q72:T72"/>
    <mergeCell ref="U72:AB72"/>
    <mergeCell ref="AE72:AH72"/>
    <mergeCell ref="AI72:AP72"/>
    <mergeCell ref="U73:AB73"/>
    <mergeCell ref="AE73:AH73"/>
    <mergeCell ref="AI73:AP73"/>
    <mergeCell ref="Q73:T73"/>
    <mergeCell ref="Q74:T74"/>
    <mergeCell ref="U74:AB74"/>
    <mergeCell ref="AE74:AH74"/>
    <mergeCell ref="AI74:AP74"/>
    <mergeCell ref="Q75:T75"/>
    <mergeCell ref="U75:AB75"/>
    <mergeCell ref="C78:AP78"/>
    <mergeCell ref="Q56:T56"/>
    <mergeCell ref="U56:AB56"/>
    <mergeCell ref="AE56:AH56"/>
    <mergeCell ref="AI56:AP56"/>
    <mergeCell ref="U57:AB57"/>
    <mergeCell ref="AE57:AH57"/>
    <mergeCell ref="AI57:AP57"/>
    <mergeCell ref="AE59:AH59"/>
    <mergeCell ref="AI59:AP59"/>
    <mergeCell ref="Q57:T57"/>
    <mergeCell ref="Q58:T58"/>
    <mergeCell ref="U58:AB58"/>
    <mergeCell ref="AE58:AH58"/>
    <mergeCell ref="AI58:AP58"/>
    <mergeCell ref="Q59:T59"/>
    <mergeCell ref="U59:AB59"/>
    <mergeCell ref="Q60:T60"/>
    <mergeCell ref="U60:AB60"/>
    <mergeCell ref="AE60:AH60"/>
    <mergeCell ref="AI60:AP60"/>
    <mergeCell ref="U61:AB61"/>
    <mergeCell ref="AE61:AH61"/>
    <mergeCell ref="AI61:AP61"/>
    <mergeCell ref="AE63:AH63"/>
    <mergeCell ref="AI63:AP63"/>
    <mergeCell ref="Q61:T61"/>
    <mergeCell ref="Q62:T62"/>
    <mergeCell ref="U62:AB62"/>
    <mergeCell ref="AE62:AH62"/>
    <mergeCell ref="AI62:AP62"/>
    <mergeCell ref="Q63:T63"/>
    <mergeCell ref="U63:AB63"/>
    <mergeCell ref="AE76:AH76"/>
    <mergeCell ref="AE77:AH77"/>
    <mergeCell ref="AE75:AH75"/>
    <mergeCell ref="AI75:AP75"/>
    <mergeCell ref="Q76:T76"/>
    <mergeCell ref="U76:AB76"/>
    <mergeCell ref="AI76:AP76"/>
    <mergeCell ref="Q77:T77"/>
    <mergeCell ref="U77:AB77"/>
    <mergeCell ref="AI77:AP77"/>
    <mergeCell ref="G1:G4"/>
    <mergeCell ref="E2:F3"/>
    <mergeCell ref="S1:S4"/>
    <mergeCell ref="Q2:R3"/>
    <mergeCell ref="H3:I3"/>
    <mergeCell ref="N3:O3"/>
    <mergeCell ref="AJ2:AL3"/>
    <mergeCell ref="AG3:AH3"/>
    <mergeCell ref="Y1:Y4"/>
    <mergeCell ref="AB1:AB4"/>
    <mergeCell ref="AF1:AF4"/>
    <mergeCell ref="AI1:AI4"/>
    <mergeCell ref="W2:X3"/>
    <mergeCell ref="AC2:AE3"/>
    <mergeCell ref="Z3:AA3"/>
    <mergeCell ref="G5:J5"/>
    <mergeCell ref="K5:L5"/>
    <mergeCell ref="U5:X5"/>
    <mergeCell ref="Y5:Z5"/>
    <mergeCell ref="AA5:AB5"/>
    <mergeCell ref="AF5:AH5"/>
    <mergeCell ref="AI5:AL5"/>
    <mergeCell ref="AF8:AL8"/>
    <mergeCell ref="AF9:AL9"/>
    <mergeCell ref="D1:D4"/>
    <mergeCell ref="D5:F5"/>
    <mergeCell ref="M5:N5"/>
    <mergeCell ref="R5:T5"/>
    <mergeCell ref="D6:J6"/>
    <mergeCell ref="K6:L6"/>
    <mergeCell ref="M6:N6"/>
    <mergeCell ref="D7:J7"/>
    <mergeCell ref="K7:L7"/>
    <mergeCell ref="M7:N7"/>
    <mergeCell ref="D8:J8"/>
    <mergeCell ref="K8:L8"/>
    <mergeCell ref="M8:N8"/>
    <mergeCell ref="D9:J9"/>
    <mergeCell ref="K9:L9"/>
    <mergeCell ref="M9:N9"/>
    <mergeCell ref="D10:J10"/>
    <mergeCell ref="K10:L10"/>
    <mergeCell ref="M10:N10"/>
    <mergeCell ref="D11:J11"/>
    <mergeCell ref="K11:L11"/>
    <mergeCell ref="M11:N11"/>
    <mergeCell ref="D12:J12"/>
    <mergeCell ref="K12:L12"/>
    <mergeCell ref="M12:N12"/>
    <mergeCell ref="D13:J13"/>
    <mergeCell ref="K13:L13"/>
    <mergeCell ref="M13:N13"/>
    <mergeCell ref="D14:J14"/>
    <mergeCell ref="K14:L14"/>
    <mergeCell ref="M14:N14"/>
    <mergeCell ref="D15:J15"/>
    <mergeCell ref="K15:L15"/>
    <mergeCell ref="M15:N15"/>
    <mergeCell ref="D16:J16"/>
    <mergeCell ref="K16:L16"/>
    <mergeCell ref="D18:J18"/>
    <mergeCell ref="K18:L18"/>
    <mergeCell ref="M24:N24"/>
    <mergeCell ref="D25:J25"/>
    <mergeCell ref="K25:L25"/>
    <mergeCell ref="M25:N25"/>
    <mergeCell ref="C26:O26"/>
    <mergeCell ref="R29:T29"/>
    <mergeCell ref="J1:J4"/>
    <mergeCell ref="M1:M4"/>
    <mergeCell ref="P1:P4"/>
    <mergeCell ref="V1:V4"/>
    <mergeCell ref="B2:B27"/>
    <mergeCell ref="K2:L3"/>
    <mergeCell ref="T3:U3"/>
    <mergeCell ref="M16:N16"/>
    <mergeCell ref="D17:J17"/>
    <mergeCell ref="K17:L17"/>
    <mergeCell ref="M17:N17"/>
    <mergeCell ref="M18:N18"/>
    <mergeCell ref="D19:J19"/>
    <mergeCell ref="K19:L19"/>
    <mergeCell ref="M19:N19"/>
    <mergeCell ref="D20:J20"/>
    <mergeCell ref="K20:L20"/>
    <mergeCell ref="M20:N20"/>
    <mergeCell ref="D21:J21"/>
    <mergeCell ref="K21:L21"/>
    <mergeCell ref="M21:N21"/>
    <mergeCell ref="D22:J22"/>
    <mergeCell ref="K22:L22"/>
    <mergeCell ref="M22:N22"/>
    <mergeCell ref="D23:J23"/>
    <mergeCell ref="K23:L23"/>
    <mergeCell ref="M23:N23"/>
    <mergeCell ref="D30:J30"/>
    <mergeCell ref="K30:L30"/>
    <mergeCell ref="AF50:AL50"/>
    <mergeCell ref="AF51:AL51"/>
    <mergeCell ref="C52:AP52"/>
    <mergeCell ref="AF43:AL43"/>
    <mergeCell ref="AF44:AL44"/>
    <mergeCell ref="AF45:AL45"/>
    <mergeCell ref="AF46:AL46"/>
    <mergeCell ref="AF47:AL47"/>
    <mergeCell ref="AF48:AL48"/>
    <mergeCell ref="AF49:AL49"/>
    <mergeCell ref="Y43:Z43"/>
    <mergeCell ref="AA43:AB43"/>
    <mergeCell ref="R41:X41"/>
    <mergeCell ref="Y41:Z41"/>
    <mergeCell ref="AA41:AB41"/>
    <mergeCell ref="R42:X42"/>
    <mergeCell ref="Y42:Z42"/>
    <mergeCell ref="AA42:AB42"/>
    <mergeCell ref="R43:X43"/>
    <mergeCell ref="Y46:Z46"/>
    <mergeCell ref="AA46:AB46"/>
    <mergeCell ref="R44:X44"/>
    <mergeCell ref="Y44:Z44"/>
    <mergeCell ref="AA44:AB44"/>
    <mergeCell ref="R45:X45"/>
    <mergeCell ref="Y45:Z45"/>
    <mergeCell ref="AA45:AB45"/>
    <mergeCell ref="R46:X46"/>
    <mergeCell ref="Y49:Z49"/>
    <mergeCell ref="AA49:AB49"/>
    <mergeCell ref="AD53:AD56"/>
    <mergeCell ref="R47:X47"/>
    <mergeCell ref="Y47:Z47"/>
    <mergeCell ref="AA47:AB47"/>
    <mergeCell ref="R48:X48"/>
    <mergeCell ref="Y48:Z48"/>
    <mergeCell ref="AA48:AB48"/>
    <mergeCell ref="R49:X49"/>
    <mergeCell ref="R50:X50"/>
    <mergeCell ref="Y50:Z50"/>
    <mergeCell ref="AA50:AB50"/>
    <mergeCell ref="R51:X51"/>
    <mergeCell ref="Y51:Z51"/>
    <mergeCell ref="AA51:AB51"/>
    <mergeCell ref="P54:AC55"/>
  </mergeCells>
  <conditionalFormatting sqref="M6:N25 AA6:AB25 AO6:AP25 M30:N51 AA30:AB51 AO30:AP51">
    <cfRule type="expression" dxfId="35" priority="1">
      <formula>and(D6="",K6="")</formula>
    </cfRule>
  </conditionalFormatting>
  <conditionalFormatting sqref="C6:M25 C30:M51">
    <cfRule type="expression" dxfId="13" priority="2">
      <formula>AND($C6=0,$C6&lt;&gt;"")</formula>
    </cfRule>
  </conditionalFormatting>
  <conditionalFormatting sqref="Q6:AB25 Q30:AB51">
    <cfRule type="expression" dxfId="13" priority="3">
      <formula>AND($Q6=0,$Q6&lt;&gt;"")</formula>
    </cfRule>
  </conditionalFormatting>
  <conditionalFormatting sqref="AE6:AP25 AE30:AP51">
    <cfRule type="expression" dxfId="13" priority="4">
      <formula>AND($AE6=0,$AE6&lt;&gt;"")</formula>
    </cfRule>
  </conditionalFormatting>
  <conditionalFormatting sqref="K6:L25 Y6:Z25 AM6:AN25 K30:L51 Y30:Z51 AM30:AN51">
    <cfRule type="containsText" dxfId="36" priority="5" operator="containsText" text="cp">
      <formula>NOT(ISERROR(SEARCH(("cp"),(K6))))</formula>
    </cfRule>
  </conditionalFormatting>
  <conditionalFormatting sqref="K6:K25 Y6:Y25 AM6:AM25 K30:K51 Y30:Y51 AM30:AM51">
    <cfRule type="containsText" dxfId="36" priority="6" operator="containsText" text=".0">
      <formula>NOT(ISERROR(SEARCH((".0"),(K6))))</formula>
    </cfRule>
  </conditionalFormatting>
  <conditionalFormatting sqref="K6:L25 Y6:Z25 AM6:AN25 K30:L51 Y30:Z51 AM30:AN51">
    <cfRule type="containsText" dxfId="12" priority="7" operator="containsText" text="sp">
      <formula>NOT(ISERROR(SEARCH(("sp"),(K6))))</formula>
    </cfRule>
  </conditionalFormatting>
  <conditionalFormatting sqref="K6:K25 Y6:Y25 AM6:AM25 K30:K51 Y30:Y51 AM30:AM51">
    <cfRule type="cellIs" dxfId="12" priority="8" operator="between">
      <formula>0.1</formula>
      <formula>0.9</formula>
    </cfRule>
  </conditionalFormatting>
  <conditionalFormatting sqref="K6:L25 Y6:Z25 AM6:AN25 K30:L51 Y30:Z51 AM30:AN51">
    <cfRule type="containsText" dxfId="5" priority="9" operator="containsText" text="gp">
      <formula>NOT(ISERROR(SEARCH(("gp"),(K6))))</formula>
    </cfRule>
  </conditionalFormatting>
  <conditionalFormatting sqref="K6:L25 Y6:Z25 AM6:AN25 K30:L51 Y30:Z51 AM30:AN51">
    <cfRule type="containsText" dxfId="37" priority="10" operator="containsText" text="pp">
      <formula>NOT(ISERROR(SEARCH(("pp"),(K6))))</formula>
    </cfRule>
  </conditionalFormatting>
  <conditionalFormatting sqref="K6:K25 Y6:Y25 AM6:AM25 K30:K51 Y30:Y51 AM30:AM51">
    <cfRule type="containsText" dxfId="10" priority="11" operator="containsText" text="Priceless">
      <formula>NOT(ISERROR(SEARCH(("Priceless"),(K6))))</formula>
    </cfRule>
  </conditionalFormatting>
  <conditionalFormatting sqref="K6:K25 Y6:Y25 AM6:AM25 K30:K51 Y30:Y51 AM30:AM51">
    <cfRule type="containsText" dxfId="38" priority="12" operator="containsText" text="?">
      <formula>NOT(ISERROR(SEARCH(("?"),(K6))))</formula>
    </cfRule>
  </conditionalFormatting>
  <conditionalFormatting sqref="M6:N25 AA6:AB25 AO6:AP25 M30:N51 AA30:AB51 AO30:AP51">
    <cfRule type="cellIs" dxfId="39" priority="13" operator="equal">
      <formula>0</formula>
    </cfRule>
  </conditionalFormatting>
  <conditionalFormatting sqref="C57:C77 Q57:Q77 AE57:AE77">
    <cfRule type="cellIs" dxfId="0" priority="14" operator="lessThan">
      <formula>0</formula>
    </cfRule>
  </conditionalFormatting>
  <conditionalFormatting sqref="AC2 AJ2 P54">
    <cfRule type="cellIs" dxfId="35" priority="15" operator="equal">
      <formula>0</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52" width="3.0"/>
  </cols>
  <sheetData>
    <row r="1" ht="15.75" customHeight="1">
      <c r="B1" s="144" t="str">
        <f>IMAGE("https://i.imgur.com/GTUqy6z.png",4, 1637, 41)</f>
        <v/>
      </c>
      <c r="D1" s="5"/>
      <c r="E1" s="5"/>
      <c r="F1" s="200"/>
      <c r="G1" s="5"/>
      <c r="I1" s="420" t="str">
        <f>if(countblank(I3:I76,Z3:Z76)=148,"Use the '#' columns for the amount of an item.","")</f>
        <v>Use the '#' columns for the amount of an item.</v>
      </c>
      <c r="W1" s="420" t="str">
        <f>if(and(R3="",U3=0,AI3="",AL3=0),"Make sure to check [?] for how to properly fill out cost &amp; weight.","")</f>
        <v>Make sure to check [?] for how to properly fill out cost &amp; weight.</v>
      </c>
      <c r="AO1" s="421" t="str">
        <f>image("https://i.imgur.com/CGrwAWE.png",4, 1637, 20)</f>
        <v/>
      </c>
      <c r="AQ1" s="422"/>
      <c r="AR1" s="422"/>
      <c r="AS1" s="423"/>
      <c r="AT1" s="422"/>
      <c r="AU1" s="422"/>
      <c r="AV1" s="422"/>
      <c r="AW1" s="422"/>
      <c r="AX1" s="422"/>
      <c r="AY1" s="422"/>
      <c r="AZ1" s="422"/>
    </row>
    <row r="2" ht="15.75" customHeight="1">
      <c r="D2" s="424"/>
      <c r="E2" s="25"/>
      <c r="F2" s="25"/>
      <c r="G2" s="149"/>
      <c r="H2" s="424" t="str">
        <f>IMAGE("http://i.imgur.com/xcRRvuq.png",2)</f>
        <v/>
      </c>
      <c r="I2" s="425" t="s">
        <v>235</v>
      </c>
      <c r="J2" s="426" t="s">
        <v>236</v>
      </c>
      <c r="K2" s="70"/>
      <c r="L2" s="70"/>
      <c r="M2" s="70"/>
      <c r="N2" s="70"/>
      <c r="O2" s="70"/>
      <c r="P2" s="70"/>
      <c r="Q2" s="70"/>
      <c r="R2" s="427" t="s">
        <v>238</v>
      </c>
      <c r="S2" s="70"/>
      <c r="T2" s="70"/>
      <c r="U2" s="428" t="s">
        <v>143</v>
      </c>
      <c r="V2" s="70"/>
      <c r="W2" s="70"/>
      <c r="X2" s="429" t="str">
        <f>IMAGE("https://i.imgur.com/RyxX4XE.png",4, 1574, 41)</f>
        <v/>
      </c>
      <c r="Y2" s="25"/>
      <c r="Z2" s="425" t="s">
        <v>235</v>
      </c>
      <c r="AA2" s="426" t="s">
        <v>236</v>
      </c>
      <c r="AB2" s="70"/>
      <c r="AC2" s="70"/>
      <c r="AD2" s="70"/>
      <c r="AE2" s="70"/>
      <c r="AF2" s="70"/>
      <c r="AG2" s="70"/>
      <c r="AH2" s="70"/>
      <c r="AI2" s="427" t="s">
        <v>238</v>
      </c>
      <c r="AJ2" s="70"/>
      <c r="AK2" s="70"/>
      <c r="AL2" s="428" t="s">
        <v>143</v>
      </c>
      <c r="AM2" s="70"/>
      <c r="AN2" s="70"/>
      <c r="AQ2" s="430" t="s">
        <v>241</v>
      </c>
      <c r="AR2" s="431" t="s">
        <v>242</v>
      </c>
      <c r="AS2" s="432" t="s">
        <v>241</v>
      </c>
      <c r="AT2" s="431" t="s">
        <v>242</v>
      </c>
      <c r="AU2" s="422"/>
      <c r="AV2" s="422"/>
      <c r="AW2" s="422"/>
      <c r="AX2" s="422"/>
      <c r="AY2" s="422"/>
      <c r="AZ2" s="422"/>
    </row>
    <row r="3" ht="15.75" customHeight="1">
      <c r="D3" s="351">
        <v>0.0</v>
      </c>
      <c r="E3" s="25"/>
      <c r="F3" s="25"/>
      <c r="G3" s="25"/>
      <c r="I3" s="433"/>
      <c r="J3" s="434"/>
      <c r="K3" s="74"/>
      <c r="L3" s="74"/>
      <c r="M3" s="74"/>
      <c r="N3" s="74"/>
      <c r="O3" s="74"/>
      <c r="P3" s="74"/>
      <c r="Q3" s="74"/>
      <c r="R3" s="435"/>
      <c r="S3" s="74"/>
      <c r="T3" s="74"/>
      <c r="U3" s="436">
        <v>0.0</v>
      </c>
      <c r="V3" s="74"/>
      <c r="W3" s="74"/>
      <c r="Z3" s="433"/>
      <c r="AA3" s="434"/>
      <c r="AB3" s="74"/>
      <c r="AC3" s="74"/>
      <c r="AD3" s="74"/>
      <c r="AE3" s="74"/>
      <c r="AF3" s="74"/>
      <c r="AG3" s="74"/>
      <c r="AH3" s="74"/>
      <c r="AI3" s="435"/>
      <c r="AJ3" s="74"/>
      <c r="AK3" s="74"/>
      <c r="AL3" s="436">
        <v>0.0</v>
      </c>
      <c r="AM3" s="74"/>
      <c r="AN3" s="74"/>
      <c r="AQ3" s="437">
        <f t="shared" ref="AQ3:AQ76" si="1">if(OR(and(I3="",J3="",R3="",U3=""),R3="-"),"",if(R3="",0,if(isnumber(find("pp",lower(R3))),value(left(R3,find("pp",lower(R3))-1))*10,if(isnumber(find("ep",lower(R3))),value(left(R3,find("ep",lower(R3))-1))*0.5,if(isnumber(find("sp",lower(R3))),value(left(R3,find("sp",lower(R3))-1))*0.1,if(isnumber(find("gp",lower(R3))),value(left(R3,find("gp",lower(R3))-1)),if(isnumber(find("cp",lower(R3))),value(left(R3,find("cp",lower(R3))-1))*0.01,R3)))))*if(I3="",1,I3)))</f>
        <v>0</v>
      </c>
      <c r="AR3" s="438">
        <f t="shared" ref="AR3:AR76" si="2">if(U3="-",0,if(and(I3="",J3="",R3="",U3=""),"",if(I3="",U3,I3*U3)))</f>
        <v>0</v>
      </c>
      <c r="AS3" s="439">
        <f t="shared" ref="AS3:AS76" si="3">if(OR(and(Z3="",AA3="",AI3="",AL3=""),AI3="-"),"",if(AI3="",0,if(isnumber(find("pp",lower(AI3))),value(left(AI3,find("pp",lower(AI3))-1))*10,if(isnumber(find("ep",lower(AI3))),value(left(AI3,find("ep",lower(AI3))-1))*0.5,if(isnumber(find("sp",lower(AI3))),value(left(AI3,find("sp",lower(AI3))-1))*0.1,if(isnumber(find("gp",lower(AI3))),value(left(AI3,find("gp",lower(AI3))-1)),if(isnumber(find("cp",lower(AI3))),value(left(AI3,find("cp",lower(AI3))-1))*0.01,AI3)))))*if(Z3="",1,Z3)))</f>
        <v>0</v>
      </c>
      <c r="AT3" s="438">
        <f t="shared" ref="AT3:AT76" si="4">if(AL3="-",0,if(and(Z3="",AA3="",AI3="",AL3=""),"",if(Z3="",AL3,Z3*AL3)))</f>
        <v>0</v>
      </c>
      <c r="AU3" s="422"/>
      <c r="AV3" s="3"/>
      <c r="AW3" s="422"/>
      <c r="AX3" s="422"/>
      <c r="AY3" s="422"/>
      <c r="AZ3" s="422"/>
    </row>
    <row r="4" ht="15.75" customHeight="1">
      <c r="D4" s="31"/>
      <c r="E4" s="31"/>
      <c r="F4" s="31"/>
      <c r="G4" s="31"/>
      <c r="I4" s="433"/>
      <c r="J4" s="434"/>
      <c r="K4" s="74"/>
      <c r="L4" s="74"/>
      <c r="M4" s="74"/>
      <c r="N4" s="74"/>
      <c r="O4" s="74"/>
      <c r="P4" s="74"/>
      <c r="Q4" s="74"/>
      <c r="R4" s="435"/>
      <c r="S4" s="74"/>
      <c r="T4" s="74"/>
      <c r="U4" s="436">
        <v>0.0</v>
      </c>
      <c r="V4" s="74"/>
      <c r="W4" s="74"/>
      <c r="Z4" s="433"/>
      <c r="AA4" s="434"/>
      <c r="AB4" s="74"/>
      <c r="AC4" s="74"/>
      <c r="AD4" s="74"/>
      <c r="AE4" s="74"/>
      <c r="AF4" s="74"/>
      <c r="AG4" s="74"/>
      <c r="AH4" s="74"/>
      <c r="AI4" s="435"/>
      <c r="AJ4" s="74"/>
      <c r="AK4" s="74"/>
      <c r="AL4" s="436">
        <v>0.0</v>
      </c>
      <c r="AM4" s="74"/>
      <c r="AN4" s="74"/>
      <c r="AQ4" s="437">
        <f t="shared" si="1"/>
        <v>0</v>
      </c>
      <c r="AR4" s="438">
        <f t="shared" si="2"/>
        <v>0</v>
      </c>
      <c r="AS4" s="439">
        <f t="shared" si="3"/>
        <v>0</v>
      </c>
      <c r="AT4" s="438">
        <f t="shared" si="4"/>
        <v>0</v>
      </c>
      <c r="AU4" s="422"/>
      <c r="AV4" s="422"/>
      <c r="AW4" s="422"/>
      <c r="AX4" s="422"/>
      <c r="AY4" s="422"/>
      <c r="AZ4" s="422"/>
    </row>
    <row r="5" ht="15.75" customHeight="1">
      <c r="D5" s="239"/>
      <c r="F5" s="239"/>
      <c r="I5" s="433"/>
      <c r="J5" s="434"/>
      <c r="K5" s="74"/>
      <c r="L5" s="74"/>
      <c r="M5" s="74"/>
      <c r="N5" s="74"/>
      <c r="O5" s="74"/>
      <c r="P5" s="74"/>
      <c r="Q5" s="74"/>
      <c r="R5" s="435"/>
      <c r="S5" s="74"/>
      <c r="T5" s="74"/>
      <c r="U5" s="436">
        <v>0.0</v>
      </c>
      <c r="V5" s="74"/>
      <c r="W5" s="74"/>
      <c r="Z5" s="433"/>
      <c r="AA5" s="434"/>
      <c r="AB5" s="74"/>
      <c r="AC5" s="74"/>
      <c r="AD5" s="74"/>
      <c r="AE5" s="74"/>
      <c r="AF5" s="74"/>
      <c r="AG5" s="74"/>
      <c r="AH5" s="74"/>
      <c r="AI5" s="435"/>
      <c r="AJ5" s="74"/>
      <c r="AK5" s="74"/>
      <c r="AL5" s="436">
        <v>0.0</v>
      </c>
      <c r="AM5" s="74"/>
      <c r="AN5" s="74"/>
      <c r="AQ5" s="437">
        <f t="shared" si="1"/>
        <v>0</v>
      </c>
      <c r="AR5" s="438">
        <f t="shared" si="2"/>
        <v>0</v>
      </c>
      <c r="AS5" s="439">
        <f t="shared" si="3"/>
        <v>0</v>
      </c>
      <c r="AT5" s="438">
        <f t="shared" si="4"/>
        <v>0</v>
      </c>
      <c r="AU5" s="422"/>
      <c r="AV5" s="422"/>
      <c r="AW5" s="422"/>
      <c r="AX5" s="422"/>
      <c r="AY5" s="422"/>
      <c r="AZ5" s="422"/>
    </row>
    <row r="6" ht="15.75" customHeight="1">
      <c r="D6" s="352">
        <v>0.0</v>
      </c>
      <c r="E6" s="25"/>
      <c r="F6" s="25"/>
      <c r="G6" s="25"/>
      <c r="I6" s="433"/>
      <c r="J6" s="434"/>
      <c r="K6" s="74"/>
      <c r="L6" s="74"/>
      <c r="M6" s="74"/>
      <c r="N6" s="74"/>
      <c r="O6" s="74"/>
      <c r="P6" s="74"/>
      <c r="Q6" s="74"/>
      <c r="R6" s="440"/>
      <c r="S6" s="74"/>
      <c r="T6" s="74"/>
      <c r="U6" s="436">
        <v>0.0</v>
      </c>
      <c r="V6" s="74"/>
      <c r="W6" s="74"/>
      <c r="Z6" s="433"/>
      <c r="AA6" s="434"/>
      <c r="AB6" s="74"/>
      <c r="AC6" s="74"/>
      <c r="AD6" s="74"/>
      <c r="AE6" s="74"/>
      <c r="AF6" s="74"/>
      <c r="AG6" s="74"/>
      <c r="AH6" s="74"/>
      <c r="AI6" s="440"/>
      <c r="AJ6" s="74"/>
      <c r="AK6" s="74"/>
      <c r="AL6" s="436">
        <v>0.0</v>
      </c>
      <c r="AM6" s="74"/>
      <c r="AN6" s="74"/>
      <c r="AQ6" s="437">
        <f t="shared" si="1"/>
        <v>0</v>
      </c>
      <c r="AR6" s="438">
        <f t="shared" si="2"/>
        <v>0</v>
      </c>
      <c r="AS6" s="439">
        <f t="shared" si="3"/>
        <v>0</v>
      </c>
      <c r="AT6" s="438">
        <f t="shared" si="4"/>
        <v>0</v>
      </c>
      <c r="AU6" s="422"/>
      <c r="AV6" s="422"/>
      <c r="AW6" s="422"/>
      <c r="AX6" s="422"/>
      <c r="AY6" s="422"/>
      <c r="AZ6" s="422"/>
    </row>
    <row r="7" ht="15.75" customHeight="1">
      <c r="D7" s="31"/>
      <c r="E7" s="31"/>
      <c r="F7" s="31"/>
      <c r="G7" s="31"/>
      <c r="I7" s="433"/>
      <c r="J7" s="434"/>
      <c r="K7" s="74"/>
      <c r="L7" s="74"/>
      <c r="M7" s="74"/>
      <c r="N7" s="74"/>
      <c r="O7" s="74"/>
      <c r="P7" s="74"/>
      <c r="Q7" s="74"/>
      <c r="R7" s="435"/>
      <c r="S7" s="74"/>
      <c r="T7" s="74"/>
      <c r="U7" s="436">
        <v>0.0</v>
      </c>
      <c r="V7" s="74"/>
      <c r="W7" s="74"/>
      <c r="Z7" s="433"/>
      <c r="AA7" s="434"/>
      <c r="AB7" s="74"/>
      <c r="AC7" s="74"/>
      <c r="AD7" s="74"/>
      <c r="AE7" s="74"/>
      <c r="AF7" s="74"/>
      <c r="AG7" s="74"/>
      <c r="AH7" s="74"/>
      <c r="AI7" s="435"/>
      <c r="AJ7" s="74"/>
      <c r="AK7" s="74"/>
      <c r="AL7" s="436">
        <v>0.0</v>
      </c>
      <c r="AM7" s="74"/>
      <c r="AN7" s="74"/>
      <c r="AQ7" s="437">
        <f t="shared" si="1"/>
        <v>0</v>
      </c>
      <c r="AR7" s="438">
        <f t="shared" si="2"/>
        <v>0</v>
      </c>
      <c r="AS7" s="439">
        <f t="shared" si="3"/>
        <v>0</v>
      </c>
      <c r="AT7" s="438">
        <f t="shared" si="4"/>
        <v>0</v>
      </c>
      <c r="AU7" s="422"/>
      <c r="AV7" s="422"/>
      <c r="AW7" s="422"/>
      <c r="AX7" s="422"/>
      <c r="AY7" s="422"/>
      <c r="AZ7" s="422"/>
    </row>
    <row r="8" ht="15.75" customHeight="1">
      <c r="D8" s="12"/>
      <c r="F8" s="239"/>
      <c r="I8" s="433"/>
      <c r="J8" s="434"/>
      <c r="K8" s="74"/>
      <c r="L8" s="74"/>
      <c r="M8" s="74"/>
      <c r="N8" s="74"/>
      <c r="O8" s="74"/>
      <c r="P8" s="74"/>
      <c r="Q8" s="74"/>
      <c r="R8" s="435"/>
      <c r="S8" s="74"/>
      <c r="T8" s="74"/>
      <c r="U8" s="436">
        <v>0.0</v>
      </c>
      <c r="V8" s="74"/>
      <c r="W8" s="74"/>
      <c r="Z8" s="433"/>
      <c r="AA8" s="434"/>
      <c r="AB8" s="74"/>
      <c r="AC8" s="74"/>
      <c r="AD8" s="74"/>
      <c r="AE8" s="74"/>
      <c r="AF8" s="74"/>
      <c r="AG8" s="74"/>
      <c r="AH8" s="74"/>
      <c r="AI8" s="435"/>
      <c r="AJ8" s="74"/>
      <c r="AK8" s="74"/>
      <c r="AL8" s="436">
        <v>0.0</v>
      </c>
      <c r="AM8" s="74"/>
      <c r="AN8" s="74"/>
      <c r="AQ8" s="437">
        <f t="shared" si="1"/>
        <v>0</v>
      </c>
      <c r="AR8" s="438">
        <f t="shared" si="2"/>
        <v>0</v>
      </c>
      <c r="AS8" s="439">
        <f t="shared" si="3"/>
        <v>0</v>
      </c>
      <c r="AT8" s="438">
        <f t="shared" si="4"/>
        <v>0</v>
      </c>
      <c r="AU8" s="422"/>
      <c r="AV8" s="422"/>
      <c r="AW8" s="422"/>
      <c r="AX8" s="422"/>
      <c r="AY8" s="422"/>
      <c r="AZ8" s="422"/>
    </row>
    <row r="9" ht="15.75" customHeight="1">
      <c r="D9" s="441">
        <v>0.0</v>
      </c>
      <c r="E9" s="25"/>
      <c r="F9" s="25"/>
      <c r="G9" s="25"/>
      <c r="I9" s="433"/>
      <c r="J9" s="434"/>
      <c r="K9" s="74"/>
      <c r="L9" s="74"/>
      <c r="M9" s="74"/>
      <c r="N9" s="74"/>
      <c r="O9" s="74"/>
      <c r="P9" s="74"/>
      <c r="Q9" s="74"/>
      <c r="R9" s="440"/>
      <c r="S9" s="74"/>
      <c r="T9" s="74"/>
      <c r="U9" s="442">
        <v>0.0</v>
      </c>
      <c r="V9" s="74"/>
      <c r="W9" s="74"/>
      <c r="Z9" s="433"/>
      <c r="AA9" s="434"/>
      <c r="AB9" s="74"/>
      <c r="AC9" s="74"/>
      <c r="AD9" s="74"/>
      <c r="AE9" s="74"/>
      <c r="AF9" s="74"/>
      <c r="AG9" s="74"/>
      <c r="AH9" s="74"/>
      <c r="AI9" s="440"/>
      <c r="AJ9" s="74"/>
      <c r="AK9" s="74"/>
      <c r="AL9" s="436">
        <v>0.0</v>
      </c>
      <c r="AM9" s="74"/>
      <c r="AN9" s="74"/>
      <c r="AQ9" s="437">
        <f t="shared" si="1"/>
        <v>0</v>
      </c>
      <c r="AR9" s="438">
        <f t="shared" si="2"/>
        <v>0</v>
      </c>
      <c r="AS9" s="439">
        <f t="shared" si="3"/>
        <v>0</v>
      </c>
      <c r="AT9" s="438">
        <f t="shared" si="4"/>
        <v>0</v>
      </c>
      <c r="AU9" s="422"/>
      <c r="AV9" s="422"/>
      <c r="AW9" s="422"/>
      <c r="AX9" s="422"/>
      <c r="AY9" s="422"/>
      <c r="AZ9" s="422"/>
    </row>
    <row r="10" ht="15.75" customHeight="1">
      <c r="D10" s="31"/>
      <c r="E10" s="31"/>
      <c r="F10" s="31"/>
      <c r="G10" s="31"/>
      <c r="I10" s="433"/>
      <c r="J10" s="434"/>
      <c r="K10" s="74"/>
      <c r="L10" s="74"/>
      <c r="M10" s="74"/>
      <c r="N10" s="74"/>
      <c r="O10" s="74"/>
      <c r="P10" s="74"/>
      <c r="Q10" s="74"/>
      <c r="R10" s="435"/>
      <c r="S10" s="74"/>
      <c r="T10" s="74"/>
      <c r="U10" s="436">
        <v>0.0</v>
      </c>
      <c r="V10" s="74"/>
      <c r="W10" s="74"/>
      <c r="Z10" s="433"/>
      <c r="AA10" s="434"/>
      <c r="AB10" s="74"/>
      <c r="AC10" s="74"/>
      <c r="AD10" s="74"/>
      <c r="AE10" s="74"/>
      <c r="AF10" s="74"/>
      <c r="AG10" s="74"/>
      <c r="AH10" s="74"/>
      <c r="AI10" s="435"/>
      <c r="AJ10" s="74"/>
      <c r="AK10" s="74"/>
      <c r="AL10" s="436">
        <v>0.0</v>
      </c>
      <c r="AM10" s="74"/>
      <c r="AN10" s="74"/>
      <c r="AQ10" s="437">
        <f t="shared" si="1"/>
        <v>0</v>
      </c>
      <c r="AR10" s="438">
        <f t="shared" si="2"/>
        <v>0</v>
      </c>
      <c r="AS10" s="439">
        <f t="shared" si="3"/>
        <v>0</v>
      </c>
      <c r="AT10" s="438">
        <f t="shared" si="4"/>
        <v>0</v>
      </c>
      <c r="AU10" s="422"/>
      <c r="AV10" s="422"/>
      <c r="AW10" s="422"/>
      <c r="AX10" s="422"/>
      <c r="AY10" s="422"/>
      <c r="AZ10" s="422"/>
    </row>
    <row r="11" ht="15.75" customHeight="1">
      <c r="D11" s="12"/>
      <c r="F11" s="239"/>
      <c r="I11" s="433"/>
      <c r="J11" s="434"/>
      <c r="K11" s="74"/>
      <c r="L11" s="74"/>
      <c r="M11" s="74"/>
      <c r="N11" s="74"/>
      <c r="O11" s="74"/>
      <c r="P11" s="74"/>
      <c r="Q11" s="74"/>
      <c r="R11" s="435"/>
      <c r="S11" s="74"/>
      <c r="T11" s="74"/>
      <c r="U11" s="436">
        <v>0.0</v>
      </c>
      <c r="V11" s="74"/>
      <c r="W11" s="74"/>
      <c r="Z11" s="433"/>
      <c r="AA11" s="434"/>
      <c r="AB11" s="74"/>
      <c r="AC11" s="74"/>
      <c r="AD11" s="74"/>
      <c r="AE11" s="74"/>
      <c r="AF11" s="74"/>
      <c r="AG11" s="74"/>
      <c r="AH11" s="74"/>
      <c r="AI11" s="435"/>
      <c r="AJ11" s="74"/>
      <c r="AK11" s="74"/>
      <c r="AL11" s="442">
        <v>0.0</v>
      </c>
      <c r="AM11" s="74"/>
      <c r="AN11" s="74"/>
      <c r="AQ11" s="437">
        <f t="shared" si="1"/>
        <v>0</v>
      </c>
      <c r="AR11" s="438">
        <f t="shared" si="2"/>
        <v>0</v>
      </c>
      <c r="AS11" s="439">
        <f t="shared" si="3"/>
        <v>0</v>
      </c>
      <c r="AT11" s="438">
        <f t="shared" si="4"/>
        <v>0</v>
      </c>
      <c r="AU11" s="422"/>
      <c r="AV11" s="422"/>
      <c r="AW11" s="422"/>
      <c r="AX11" s="422"/>
      <c r="AY11" s="422"/>
      <c r="AZ11" s="422"/>
    </row>
    <row r="12" ht="15.75" customHeight="1">
      <c r="D12" s="353">
        <v>0.0</v>
      </c>
      <c r="E12" s="25"/>
      <c r="F12" s="25"/>
      <c r="G12" s="25"/>
      <c r="I12" s="433"/>
      <c r="J12" s="434"/>
      <c r="K12" s="74"/>
      <c r="L12" s="74"/>
      <c r="M12" s="74"/>
      <c r="N12" s="74"/>
      <c r="O12" s="74"/>
      <c r="P12" s="74"/>
      <c r="Q12" s="74"/>
      <c r="R12" s="435"/>
      <c r="S12" s="74"/>
      <c r="T12" s="74"/>
      <c r="U12" s="436">
        <v>0.0</v>
      </c>
      <c r="V12" s="74"/>
      <c r="W12" s="74"/>
      <c r="Z12" s="433"/>
      <c r="AA12" s="434"/>
      <c r="AB12" s="74"/>
      <c r="AC12" s="74"/>
      <c r="AD12" s="74"/>
      <c r="AE12" s="74"/>
      <c r="AF12" s="74"/>
      <c r="AG12" s="74"/>
      <c r="AH12" s="74"/>
      <c r="AI12" s="443"/>
      <c r="AJ12" s="74"/>
      <c r="AK12" s="74"/>
      <c r="AL12" s="436">
        <v>0.0</v>
      </c>
      <c r="AM12" s="74"/>
      <c r="AN12" s="74"/>
      <c r="AQ12" s="437">
        <f t="shared" si="1"/>
        <v>0</v>
      </c>
      <c r="AR12" s="438">
        <f t="shared" si="2"/>
        <v>0</v>
      </c>
      <c r="AS12" s="439">
        <f t="shared" si="3"/>
        <v>0</v>
      </c>
      <c r="AT12" s="438">
        <f t="shared" si="4"/>
        <v>0</v>
      </c>
      <c r="AU12" s="422"/>
      <c r="AV12" s="422"/>
      <c r="AW12" s="422"/>
      <c r="AX12" s="422"/>
      <c r="AY12" s="422"/>
      <c r="AZ12" s="422"/>
    </row>
    <row r="13" ht="15.75" customHeight="1">
      <c r="D13" s="31"/>
      <c r="E13" s="31"/>
      <c r="F13" s="31"/>
      <c r="G13" s="31"/>
      <c r="I13" s="433"/>
      <c r="J13" s="434"/>
      <c r="K13" s="74"/>
      <c r="L13" s="74"/>
      <c r="M13" s="74"/>
      <c r="N13" s="74"/>
      <c r="O13" s="74"/>
      <c r="P13" s="74"/>
      <c r="Q13" s="74"/>
      <c r="R13" s="440"/>
      <c r="S13" s="74"/>
      <c r="T13" s="74"/>
      <c r="U13" s="436">
        <v>0.0</v>
      </c>
      <c r="V13" s="74"/>
      <c r="W13" s="74"/>
      <c r="Z13" s="433"/>
      <c r="AA13" s="434"/>
      <c r="AB13" s="74"/>
      <c r="AC13" s="74"/>
      <c r="AD13" s="74"/>
      <c r="AE13" s="74"/>
      <c r="AF13" s="74"/>
      <c r="AG13" s="74"/>
      <c r="AH13" s="74"/>
      <c r="AI13" s="440"/>
      <c r="AJ13" s="74"/>
      <c r="AK13" s="74"/>
      <c r="AL13" s="436">
        <v>0.0</v>
      </c>
      <c r="AM13" s="74"/>
      <c r="AN13" s="74"/>
      <c r="AQ13" s="437">
        <f t="shared" si="1"/>
        <v>0</v>
      </c>
      <c r="AR13" s="438">
        <f t="shared" si="2"/>
        <v>0</v>
      </c>
      <c r="AS13" s="439">
        <f t="shared" si="3"/>
        <v>0</v>
      </c>
      <c r="AT13" s="438">
        <f t="shared" si="4"/>
        <v>0</v>
      </c>
      <c r="AU13" s="422"/>
      <c r="AV13" s="422"/>
      <c r="AW13" s="422"/>
      <c r="AX13" s="422"/>
      <c r="AY13" s="422"/>
      <c r="AZ13" s="422"/>
    </row>
    <row r="14" ht="15.75" customHeight="1">
      <c r="D14" s="12"/>
      <c r="F14" s="239"/>
      <c r="I14" s="433"/>
      <c r="J14" s="434"/>
      <c r="K14" s="74"/>
      <c r="L14" s="74"/>
      <c r="M14" s="74"/>
      <c r="N14" s="74"/>
      <c r="O14" s="74"/>
      <c r="P14" s="74"/>
      <c r="Q14" s="74"/>
      <c r="R14" s="435"/>
      <c r="S14" s="74"/>
      <c r="T14" s="74"/>
      <c r="U14" s="436">
        <v>0.0</v>
      </c>
      <c r="V14" s="74"/>
      <c r="W14" s="74"/>
      <c r="Z14" s="433"/>
      <c r="AA14" s="434"/>
      <c r="AB14" s="74"/>
      <c r="AC14" s="74"/>
      <c r="AD14" s="74"/>
      <c r="AE14" s="74"/>
      <c r="AF14" s="74"/>
      <c r="AG14" s="74"/>
      <c r="AH14" s="74"/>
      <c r="AI14" s="435"/>
      <c r="AJ14" s="74"/>
      <c r="AK14" s="74"/>
      <c r="AL14" s="436">
        <v>0.0</v>
      </c>
      <c r="AM14" s="74"/>
      <c r="AN14" s="74"/>
      <c r="AQ14" s="437">
        <f t="shared" si="1"/>
        <v>0</v>
      </c>
      <c r="AR14" s="438">
        <f t="shared" si="2"/>
        <v>0</v>
      </c>
      <c r="AS14" s="439">
        <f t="shared" si="3"/>
        <v>0</v>
      </c>
      <c r="AT14" s="438">
        <f t="shared" si="4"/>
        <v>0</v>
      </c>
      <c r="AU14" s="422"/>
      <c r="AV14" s="422"/>
      <c r="AW14" s="422"/>
      <c r="AX14" s="422"/>
      <c r="AY14" s="422"/>
      <c r="AZ14" s="422"/>
    </row>
    <row r="15" ht="15.75" customHeight="1">
      <c r="D15" s="354">
        <v>0.0</v>
      </c>
      <c r="E15" s="25"/>
      <c r="F15" s="25"/>
      <c r="G15" s="25"/>
      <c r="I15" s="433"/>
      <c r="J15" s="434"/>
      <c r="K15" s="74"/>
      <c r="L15" s="74"/>
      <c r="M15" s="74"/>
      <c r="N15" s="74"/>
      <c r="O15" s="74"/>
      <c r="P15" s="74"/>
      <c r="Q15" s="74"/>
      <c r="R15" s="435"/>
      <c r="S15" s="74"/>
      <c r="T15" s="74"/>
      <c r="U15" s="436">
        <v>0.0</v>
      </c>
      <c r="V15" s="74"/>
      <c r="W15" s="74"/>
      <c r="Z15" s="433"/>
      <c r="AA15" s="434"/>
      <c r="AB15" s="74"/>
      <c r="AC15" s="74"/>
      <c r="AD15" s="74"/>
      <c r="AE15" s="74"/>
      <c r="AF15" s="74"/>
      <c r="AG15" s="74"/>
      <c r="AH15" s="74"/>
      <c r="AI15" s="435"/>
      <c r="AJ15" s="74"/>
      <c r="AK15" s="74"/>
      <c r="AL15" s="436">
        <v>0.0</v>
      </c>
      <c r="AM15" s="74"/>
      <c r="AN15" s="74"/>
      <c r="AQ15" s="437">
        <f t="shared" si="1"/>
        <v>0</v>
      </c>
      <c r="AR15" s="438">
        <f t="shared" si="2"/>
        <v>0</v>
      </c>
      <c r="AS15" s="439">
        <f t="shared" si="3"/>
        <v>0</v>
      </c>
      <c r="AT15" s="438">
        <f t="shared" si="4"/>
        <v>0</v>
      </c>
      <c r="AU15" s="422"/>
      <c r="AV15" s="422"/>
      <c r="AW15" s="422"/>
      <c r="AX15" s="422"/>
      <c r="AY15" s="422"/>
      <c r="AZ15" s="422"/>
    </row>
    <row r="16" ht="15.75" customHeight="1">
      <c r="D16" s="31"/>
      <c r="E16" s="31"/>
      <c r="F16" s="31"/>
      <c r="G16" s="31"/>
      <c r="I16" s="433"/>
      <c r="J16" s="434"/>
      <c r="K16" s="74"/>
      <c r="L16" s="74"/>
      <c r="M16" s="74"/>
      <c r="N16" s="74"/>
      <c r="O16" s="74"/>
      <c r="P16" s="74"/>
      <c r="Q16" s="74"/>
      <c r="R16" s="435"/>
      <c r="S16" s="74"/>
      <c r="T16" s="74"/>
      <c r="U16" s="436">
        <v>0.0</v>
      </c>
      <c r="V16" s="74"/>
      <c r="W16" s="74"/>
      <c r="Z16" s="433"/>
      <c r="AA16" s="434"/>
      <c r="AB16" s="74"/>
      <c r="AC16" s="74"/>
      <c r="AD16" s="74"/>
      <c r="AE16" s="74"/>
      <c r="AF16" s="74"/>
      <c r="AG16" s="74"/>
      <c r="AH16" s="74"/>
      <c r="AI16" s="435"/>
      <c r="AJ16" s="74"/>
      <c r="AK16" s="74"/>
      <c r="AL16" s="436">
        <v>0.0</v>
      </c>
      <c r="AM16" s="74"/>
      <c r="AN16" s="74"/>
      <c r="AQ16" s="437">
        <f t="shared" si="1"/>
        <v>0</v>
      </c>
      <c r="AR16" s="438">
        <f t="shared" si="2"/>
        <v>0</v>
      </c>
      <c r="AS16" s="439">
        <f t="shared" si="3"/>
        <v>0</v>
      </c>
      <c r="AT16" s="438">
        <f t="shared" si="4"/>
        <v>0</v>
      </c>
      <c r="AU16" s="422"/>
      <c r="AV16" s="422"/>
      <c r="AW16" s="422"/>
      <c r="AX16" s="422"/>
      <c r="AY16" s="422"/>
      <c r="AZ16" s="422"/>
    </row>
    <row r="17" ht="15.75" customHeight="1">
      <c r="D17" s="444"/>
      <c r="E17" s="166"/>
      <c r="F17" s="166"/>
      <c r="G17" s="445"/>
      <c r="H17" s="166"/>
      <c r="I17" s="433"/>
      <c r="J17" s="434"/>
      <c r="K17" s="74"/>
      <c r="L17" s="74"/>
      <c r="M17" s="74"/>
      <c r="N17" s="74"/>
      <c r="O17" s="74"/>
      <c r="P17" s="74"/>
      <c r="Q17" s="74"/>
      <c r="R17" s="435"/>
      <c r="S17" s="74"/>
      <c r="T17" s="74"/>
      <c r="U17" s="436">
        <v>0.0</v>
      </c>
      <c r="V17" s="74"/>
      <c r="W17" s="74"/>
      <c r="Z17" s="433"/>
      <c r="AA17" s="434"/>
      <c r="AB17" s="74"/>
      <c r="AC17" s="74"/>
      <c r="AD17" s="74"/>
      <c r="AE17" s="74"/>
      <c r="AF17" s="74"/>
      <c r="AG17" s="74"/>
      <c r="AH17" s="74"/>
      <c r="AI17" s="435"/>
      <c r="AJ17" s="74"/>
      <c r="AK17" s="74"/>
      <c r="AL17" s="436">
        <v>0.0</v>
      </c>
      <c r="AM17" s="74"/>
      <c r="AN17" s="74"/>
      <c r="AQ17" s="437">
        <f t="shared" si="1"/>
        <v>0</v>
      </c>
      <c r="AR17" s="438">
        <f t="shared" si="2"/>
        <v>0</v>
      </c>
      <c r="AS17" s="439">
        <f t="shared" si="3"/>
        <v>0</v>
      </c>
      <c r="AT17" s="438">
        <f t="shared" si="4"/>
        <v>0</v>
      </c>
      <c r="AU17" s="422"/>
      <c r="AV17" s="422"/>
      <c r="AW17" s="422"/>
      <c r="AX17" s="422"/>
      <c r="AY17" s="422"/>
      <c r="AZ17" s="422"/>
    </row>
    <row r="18" ht="15.75" customHeight="1">
      <c r="D18" s="12"/>
      <c r="G18" s="239"/>
      <c r="H18" s="446" t="str">
        <f>IMAGE("http://i.imgur.com/hVYvCFW.png",2)</f>
        <v/>
      </c>
      <c r="I18" s="433"/>
      <c r="J18" s="434"/>
      <c r="K18" s="74"/>
      <c r="L18" s="74"/>
      <c r="M18" s="74"/>
      <c r="N18" s="74"/>
      <c r="O18" s="74"/>
      <c r="P18" s="74"/>
      <c r="Q18" s="74"/>
      <c r="R18" s="435"/>
      <c r="S18" s="74"/>
      <c r="T18" s="74"/>
      <c r="U18" s="436">
        <v>0.0</v>
      </c>
      <c r="V18" s="74"/>
      <c r="W18" s="74"/>
      <c r="Z18" s="433"/>
      <c r="AA18" s="434"/>
      <c r="AB18" s="74"/>
      <c r="AC18" s="74"/>
      <c r="AD18" s="74"/>
      <c r="AE18" s="74"/>
      <c r="AF18" s="74"/>
      <c r="AG18" s="74"/>
      <c r="AH18" s="74"/>
      <c r="AI18" s="435"/>
      <c r="AJ18" s="74"/>
      <c r="AK18" s="74"/>
      <c r="AL18" s="436">
        <v>0.0</v>
      </c>
      <c r="AM18" s="74"/>
      <c r="AN18" s="74"/>
      <c r="AQ18" s="437">
        <f t="shared" si="1"/>
        <v>0</v>
      </c>
      <c r="AR18" s="438">
        <f t="shared" si="2"/>
        <v>0</v>
      </c>
      <c r="AS18" s="439">
        <f t="shared" si="3"/>
        <v>0</v>
      </c>
      <c r="AT18" s="438">
        <f t="shared" si="4"/>
        <v>0</v>
      </c>
      <c r="AU18" s="422"/>
      <c r="AV18" s="422"/>
      <c r="AW18" s="422"/>
      <c r="AX18" s="422"/>
      <c r="AY18" s="422"/>
      <c r="AZ18" s="422"/>
    </row>
    <row r="19" ht="15.75" customHeight="1">
      <c r="D19" s="89" t="s">
        <v>249</v>
      </c>
      <c r="E19" s="447">
        <f>SUM(D3*0.01+D6*0.1+D9*0.5+D12+D15*10)</f>
        <v>0</v>
      </c>
      <c r="F19" s="70"/>
      <c r="G19" s="70"/>
      <c r="I19" s="433"/>
      <c r="J19" s="434"/>
      <c r="K19" s="74"/>
      <c r="L19" s="74"/>
      <c r="M19" s="74"/>
      <c r="N19" s="74"/>
      <c r="O19" s="74"/>
      <c r="P19" s="74"/>
      <c r="Q19" s="74"/>
      <c r="R19" s="440"/>
      <c r="S19" s="74"/>
      <c r="T19" s="74"/>
      <c r="U19" s="436">
        <v>0.0</v>
      </c>
      <c r="V19" s="74"/>
      <c r="W19" s="74"/>
      <c r="Z19" s="433"/>
      <c r="AA19" s="434"/>
      <c r="AB19" s="74"/>
      <c r="AC19" s="74"/>
      <c r="AD19" s="74"/>
      <c r="AE19" s="74"/>
      <c r="AF19" s="74"/>
      <c r="AG19" s="74"/>
      <c r="AH19" s="74"/>
      <c r="AI19" s="440"/>
      <c r="AJ19" s="74"/>
      <c r="AK19" s="74"/>
      <c r="AL19" s="436">
        <v>0.0</v>
      </c>
      <c r="AM19" s="74"/>
      <c r="AN19" s="74"/>
      <c r="AQ19" s="437">
        <f t="shared" si="1"/>
        <v>0</v>
      </c>
      <c r="AR19" s="438">
        <f t="shared" si="2"/>
        <v>0</v>
      </c>
      <c r="AS19" s="439">
        <f t="shared" si="3"/>
        <v>0</v>
      </c>
      <c r="AT19" s="438">
        <f t="shared" si="4"/>
        <v>0</v>
      </c>
      <c r="AU19" s="422"/>
      <c r="AV19" s="422"/>
      <c r="AW19" s="422"/>
      <c r="AX19" s="422"/>
      <c r="AY19" s="422"/>
      <c r="AZ19" s="422"/>
    </row>
    <row r="20" ht="15.75" customHeight="1">
      <c r="D20" s="448">
        <f>SUM(AQ3:AQ76)+SUM(AS3:AS76)</f>
        <v>0</v>
      </c>
      <c r="I20" s="433"/>
      <c r="J20" s="434"/>
      <c r="K20" s="74"/>
      <c r="L20" s="74"/>
      <c r="M20" s="74"/>
      <c r="N20" s="74"/>
      <c r="O20" s="74"/>
      <c r="P20" s="74"/>
      <c r="Q20" s="74"/>
      <c r="R20" s="440"/>
      <c r="S20" s="74"/>
      <c r="T20" s="74"/>
      <c r="U20" s="436">
        <v>0.0</v>
      </c>
      <c r="V20" s="74"/>
      <c r="W20" s="74"/>
      <c r="Z20" s="433"/>
      <c r="AA20" s="434"/>
      <c r="AB20" s="74"/>
      <c r="AC20" s="74"/>
      <c r="AD20" s="74"/>
      <c r="AE20" s="74"/>
      <c r="AF20" s="74"/>
      <c r="AG20" s="74"/>
      <c r="AH20" s="74"/>
      <c r="AI20" s="440"/>
      <c r="AJ20" s="74"/>
      <c r="AK20" s="74"/>
      <c r="AL20" s="436">
        <v>0.0</v>
      </c>
      <c r="AM20" s="74"/>
      <c r="AN20" s="74"/>
      <c r="AQ20" s="437">
        <f t="shared" si="1"/>
        <v>0</v>
      </c>
      <c r="AR20" s="438">
        <f t="shared" si="2"/>
        <v>0</v>
      </c>
      <c r="AS20" s="439">
        <f t="shared" si="3"/>
        <v>0</v>
      </c>
      <c r="AT20" s="438">
        <f t="shared" si="4"/>
        <v>0</v>
      </c>
      <c r="AU20" s="422"/>
      <c r="AV20" s="422"/>
      <c r="AW20" s="422"/>
      <c r="AX20" s="422"/>
      <c r="AY20" s="422"/>
      <c r="AZ20" s="422"/>
    </row>
    <row r="21" ht="15.75" customHeight="1">
      <c r="I21" s="433"/>
      <c r="J21" s="434"/>
      <c r="K21" s="74"/>
      <c r="L21" s="74"/>
      <c r="M21" s="74"/>
      <c r="N21" s="74"/>
      <c r="O21" s="74"/>
      <c r="P21" s="74"/>
      <c r="Q21" s="74"/>
      <c r="R21" s="435"/>
      <c r="S21" s="74"/>
      <c r="T21" s="74"/>
      <c r="U21" s="436">
        <v>0.0</v>
      </c>
      <c r="V21" s="74"/>
      <c r="W21" s="74"/>
      <c r="Z21" s="433"/>
      <c r="AA21" s="434"/>
      <c r="AB21" s="74"/>
      <c r="AC21" s="74"/>
      <c r="AD21" s="74"/>
      <c r="AE21" s="74"/>
      <c r="AF21" s="74"/>
      <c r="AG21" s="74"/>
      <c r="AH21" s="74"/>
      <c r="AI21" s="435"/>
      <c r="AJ21" s="74"/>
      <c r="AK21" s="74"/>
      <c r="AL21" s="436">
        <v>0.0</v>
      </c>
      <c r="AM21" s="74"/>
      <c r="AN21" s="74"/>
      <c r="AQ21" s="437">
        <f t="shared" si="1"/>
        <v>0</v>
      </c>
      <c r="AR21" s="438">
        <f t="shared" si="2"/>
        <v>0</v>
      </c>
      <c r="AS21" s="439">
        <f t="shared" si="3"/>
        <v>0</v>
      </c>
      <c r="AT21" s="438">
        <f t="shared" si="4"/>
        <v>0</v>
      </c>
      <c r="AU21" s="422"/>
      <c r="AV21" s="422"/>
      <c r="AW21" s="422"/>
      <c r="AX21" s="422"/>
      <c r="AY21" s="422"/>
      <c r="AZ21" s="422"/>
    </row>
    <row r="22" ht="15.75" customHeight="1">
      <c r="D22" s="175" t="s">
        <v>234</v>
      </c>
      <c r="E22" s="31"/>
      <c r="F22" s="31"/>
      <c r="G22" s="31"/>
      <c r="I22" s="433"/>
      <c r="J22" s="434"/>
      <c r="K22" s="74"/>
      <c r="L22" s="74"/>
      <c r="M22" s="74"/>
      <c r="N22" s="74"/>
      <c r="O22" s="74"/>
      <c r="P22" s="74"/>
      <c r="Q22" s="74"/>
      <c r="R22" s="435"/>
      <c r="S22" s="74"/>
      <c r="T22" s="74"/>
      <c r="U22" s="436">
        <v>0.0</v>
      </c>
      <c r="V22" s="74"/>
      <c r="W22" s="74"/>
      <c r="Z22" s="433"/>
      <c r="AA22" s="434"/>
      <c r="AB22" s="74"/>
      <c r="AC22" s="74"/>
      <c r="AD22" s="74"/>
      <c r="AE22" s="74"/>
      <c r="AF22" s="74"/>
      <c r="AG22" s="74"/>
      <c r="AH22" s="74"/>
      <c r="AI22" s="435"/>
      <c r="AJ22" s="74"/>
      <c r="AK22" s="74"/>
      <c r="AL22" s="436">
        <v>0.0</v>
      </c>
      <c r="AM22" s="74"/>
      <c r="AN22" s="74"/>
      <c r="AQ22" s="437">
        <f t="shared" si="1"/>
        <v>0</v>
      </c>
      <c r="AR22" s="438">
        <f t="shared" si="2"/>
        <v>0</v>
      </c>
      <c r="AS22" s="439">
        <f t="shared" si="3"/>
        <v>0</v>
      </c>
      <c r="AT22" s="438">
        <f t="shared" si="4"/>
        <v>0</v>
      </c>
      <c r="AU22" s="422"/>
      <c r="AV22" s="422"/>
      <c r="AW22" s="422"/>
      <c r="AX22" s="422"/>
      <c r="AY22" s="422"/>
      <c r="AZ22" s="422"/>
    </row>
    <row r="23" ht="15.75" customHeight="1">
      <c r="D23" s="12"/>
      <c r="I23" s="433"/>
      <c r="J23" s="434"/>
      <c r="K23" s="74"/>
      <c r="L23" s="74"/>
      <c r="M23" s="74"/>
      <c r="N23" s="74"/>
      <c r="O23" s="74"/>
      <c r="P23" s="74"/>
      <c r="Q23" s="74"/>
      <c r="R23" s="435"/>
      <c r="S23" s="74"/>
      <c r="T23" s="74"/>
      <c r="U23" s="436">
        <v>0.0</v>
      </c>
      <c r="V23" s="74"/>
      <c r="W23" s="74"/>
      <c r="Z23" s="433"/>
      <c r="AA23" s="434"/>
      <c r="AB23" s="74"/>
      <c r="AC23" s="74"/>
      <c r="AD23" s="74"/>
      <c r="AE23" s="74"/>
      <c r="AF23" s="74"/>
      <c r="AG23" s="74"/>
      <c r="AH23" s="74"/>
      <c r="AI23" s="435"/>
      <c r="AJ23" s="74"/>
      <c r="AK23" s="74"/>
      <c r="AL23" s="436">
        <v>0.0</v>
      </c>
      <c r="AM23" s="74"/>
      <c r="AN23" s="74"/>
      <c r="AQ23" s="437">
        <f t="shared" si="1"/>
        <v>0</v>
      </c>
      <c r="AR23" s="438">
        <f t="shared" si="2"/>
        <v>0</v>
      </c>
      <c r="AS23" s="439">
        <f t="shared" si="3"/>
        <v>0</v>
      </c>
      <c r="AT23" s="438">
        <f t="shared" si="4"/>
        <v>0</v>
      </c>
      <c r="AU23" s="422"/>
      <c r="AV23" s="422"/>
      <c r="AW23" s="422"/>
      <c r="AX23" s="422"/>
      <c r="AY23" s="422"/>
      <c r="AZ23" s="422"/>
    </row>
    <row r="24" ht="15.75" customHeight="1">
      <c r="D24" s="89" t="s">
        <v>250</v>
      </c>
      <c r="E24" s="449" t="str">
        <f>if(strength="-","-",strength*15*(if(isnumber(find("powerful build",lower(concatenate(v2.1!C59:AC84)))),2,1)))</f>
        <v>-</v>
      </c>
      <c r="F24" s="70"/>
      <c r="G24" s="70"/>
      <c r="I24" s="433"/>
      <c r="J24" s="434"/>
      <c r="K24" s="74"/>
      <c r="L24" s="74"/>
      <c r="M24" s="74"/>
      <c r="N24" s="74"/>
      <c r="O24" s="74"/>
      <c r="P24" s="74"/>
      <c r="Q24" s="74"/>
      <c r="R24" s="435"/>
      <c r="S24" s="74"/>
      <c r="T24" s="74"/>
      <c r="U24" s="436">
        <v>0.0</v>
      </c>
      <c r="V24" s="74"/>
      <c r="W24" s="74"/>
      <c r="Z24" s="433"/>
      <c r="AA24" s="434"/>
      <c r="AB24" s="74"/>
      <c r="AC24" s="74"/>
      <c r="AD24" s="74"/>
      <c r="AE24" s="74"/>
      <c r="AF24" s="74"/>
      <c r="AG24" s="74"/>
      <c r="AH24" s="74"/>
      <c r="AI24" s="435"/>
      <c r="AJ24" s="74"/>
      <c r="AK24" s="74"/>
      <c r="AL24" s="436">
        <v>0.0</v>
      </c>
      <c r="AM24" s="74"/>
      <c r="AN24" s="74"/>
      <c r="AQ24" s="437">
        <f t="shared" si="1"/>
        <v>0</v>
      </c>
      <c r="AR24" s="438">
        <f t="shared" si="2"/>
        <v>0</v>
      </c>
      <c r="AS24" s="439">
        <f t="shared" si="3"/>
        <v>0</v>
      </c>
      <c r="AT24" s="438">
        <f t="shared" si="4"/>
        <v>0</v>
      </c>
      <c r="AU24" s="422"/>
      <c r="AV24" s="422"/>
      <c r="AW24" s="422"/>
      <c r="AX24" s="422"/>
      <c r="AY24" s="422"/>
      <c r="AZ24" s="422"/>
    </row>
    <row r="25" ht="15.75" customHeight="1">
      <c r="D25" s="450">
        <f>SUM(AR3:AR76)+SUM(AT3:AT76)+SUM(D3,D6,D9,D12,D15)*0.02</f>
        <v>0</v>
      </c>
      <c r="I25" s="433"/>
      <c r="J25" s="434"/>
      <c r="K25" s="74"/>
      <c r="L25" s="74"/>
      <c r="M25" s="74"/>
      <c r="N25" s="74"/>
      <c r="O25" s="74"/>
      <c r="P25" s="74"/>
      <c r="Q25" s="74"/>
      <c r="R25" s="440"/>
      <c r="S25" s="74"/>
      <c r="T25" s="74"/>
      <c r="U25" s="436">
        <v>0.0</v>
      </c>
      <c r="V25" s="74"/>
      <c r="W25" s="74"/>
      <c r="Z25" s="433"/>
      <c r="AA25" s="434"/>
      <c r="AB25" s="74"/>
      <c r="AC25" s="74"/>
      <c r="AD25" s="74"/>
      <c r="AE25" s="74"/>
      <c r="AF25" s="74"/>
      <c r="AG25" s="74"/>
      <c r="AH25" s="74"/>
      <c r="AI25" s="440"/>
      <c r="AJ25" s="74"/>
      <c r="AK25" s="74"/>
      <c r="AL25" s="436">
        <v>0.0</v>
      </c>
      <c r="AM25" s="74"/>
      <c r="AN25" s="74"/>
      <c r="AQ25" s="437">
        <f t="shared" si="1"/>
        <v>0</v>
      </c>
      <c r="AR25" s="438">
        <f t="shared" si="2"/>
        <v>0</v>
      </c>
      <c r="AS25" s="439">
        <f t="shared" si="3"/>
        <v>0</v>
      </c>
      <c r="AT25" s="438">
        <f t="shared" si="4"/>
        <v>0</v>
      </c>
      <c r="AU25" s="422"/>
      <c r="AV25" s="422"/>
      <c r="AW25" s="422"/>
      <c r="AX25" s="422"/>
      <c r="AY25" s="422"/>
      <c r="AZ25" s="422"/>
    </row>
    <row r="26" ht="15.75" customHeight="1">
      <c r="I26" s="433"/>
      <c r="J26" s="434"/>
      <c r="K26" s="74"/>
      <c r="L26" s="74"/>
      <c r="M26" s="74"/>
      <c r="N26" s="74"/>
      <c r="O26" s="74"/>
      <c r="P26" s="74"/>
      <c r="Q26" s="74"/>
      <c r="R26" s="435"/>
      <c r="S26" s="74"/>
      <c r="T26" s="74"/>
      <c r="U26" s="436">
        <v>0.0</v>
      </c>
      <c r="V26" s="74"/>
      <c r="W26" s="74"/>
      <c r="Z26" s="433"/>
      <c r="AA26" s="434"/>
      <c r="AB26" s="74"/>
      <c r="AC26" s="74"/>
      <c r="AD26" s="74"/>
      <c r="AE26" s="74"/>
      <c r="AF26" s="74"/>
      <c r="AG26" s="74"/>
      <c r="AH26" s="74"/>
      <c r="AI26" s="435"/>
      <c r="AJ26" s="74"/>
      <c r="AK26" s="74"/>
      <c r="AL26" s="436">
        <v>0.0</v>
      </c>
      <c r="AM26" s="74"/>
      <c r="AN26" s="74"/>
      <c r="AQ26" s="437">
        <f t="shared" si="1"/>
        <v>0</v>
      </c>
      <c r="AR26" s="438">
        <f t="shared" si="2"/>
        <v>0</v>
      </c>
      <c r="AS26" s="439">
        <f t="shared" si="3"/>
        <v>0</v>
      </c>
      <c r="AT26" s="438">
        <f t="shared" si="4"/>
        <v>0</v>
      </c>
      <c r="AU26" s="422"/>
      <c r="AV26" s="422"/>
      <c r="AW26" s="422"/>
      <c r="AX26" s="422"/>
      <c r="AY26" s="422"/>
      <c r="AZ26" s="422"/>
    </row>
    <row r="27" ht="15.75" customHeight="1">
      <c r="D27" s="175" t="s">
        <v>143</v>
      </c>
      <c r="E27" s="31"/>
      <c r="F27" s="31"/>
      <c r="G27" s="31"/>
      <c r="I27" s="433"/>
      <c r="J27" s="434"/>
      <c r="K27" s="74"/>
      <c r="L27" s="74"/>
      <c r="M27" s="74"/>
      <c r="N27" s="74"/>
      <c r="O27" s="74"/>
      <c r="P27" s="74"/>
      <c r="Q27" s="74"/>
      <c r="R27" s="435"/>
      <c r="S27" s="74"/>
      <c r="T27" s="74"/>
      <c r="U27" s="436">
        <v>0.0</v>
      </c>
      <c r="V27" s="74"/>
      <c r="W27" s="74"/>
      <c r="Z27" s="433"/>
      <c r="AA27" s="434"/>
      <c r="AB27" s="74"/>
      <c r="AC27" s="74"/>
      <c r="AD27" s="74"/>
      <c r="AE27" s="74"/>
      <c r="AF27" s="74"/>
      <c r="AG27" s="74"/>
      <c r="AH27" s="74"/>
      <c r="AI27" s="435"/>
      <c r="AJ27" s="74"/>
      <c r="AK27" s="74"/>
      <c r="AL27" s="436">
        <v>0.0</v>
      </c>
      <c r="AM27" s="74"/>
      <c r="AN27" s="74"/>
      <c r="AQ27" s="437">
        <f t="shared" si="1"/>
        <v>0</v>
      </c>
      <c r="AR27" s="438">
        <f t="shared" si="2"/>
        <v>0</v>
      </c>
      <c r="AS27" s="439">
        <f t="shared" si="3"/>
        <v>0</v>
      </c>
      <c r="AT27" s="438">
        <f t="shared" si="4"/>
        <v>0</v>
      </c>
      <c r="AU27" s="422"/>
      <c r="AV27" s="422"/>
      <c r="AW27" s="422"/>
      <c r="AX27" s="422"/>
      <c r="AY27" s="422"/>
      <c r="AZ27" s="422"/>
    </row>
    <row r="28" ht="15.75" customHeight="1">
      <c r="D28" s="445"/>
      <c r="E28" s="451"/>
      <c r="F28" s="451"/>
      <c r="G28" s="261"/>
      <c r="H28" s="166"/>
      <c r="I28" s="433"/>
      <c r="J28" s="434"/>
      <c r="K28" s="74"/>
      <c r="L28" s="74"/>
      <c r="M28" s="74"/>
      <c r="N28" s="74"/>
      <c r="O28" s="74"/>
      <c r="P28" s="74"/>
      <c r="Q28" s="74"/>
      <c r="R28" s="435"/>
      <c r="S28" s="74"/>
      <c r="T28" s="74"/>
      <c r="U28" s="436">
        <v>0.0</v>
      </c>
      <c r="V28" s="74"/>
      <c r="W28" s="74"/>
      <c r="Z28" s="433"/>
      <c r="AA28" s="434"/>
      <c r="AB28" s="74"/>
      <c r="AC28" s="74"/>
      <c r="AD28" s="74"/>
      <c r="AE28" s="74"/>
      <c r="AF28" s="74"/>
      <c r="AG28" s="74"/>
      <c r="AH28" s="74"/>
      <c r="AI28" s="435"/>
      <c r="AJ28" s="74"/>
      <c r="AK28" s="74"/>
      <c r="AL28" s="436">
        <v>0.0</v>
      </c>
      <c r="AM28" s="74"/>
      <c r="AN28" s="74"/>
      <c r="AQ28" s="437">
        <f t="shared" si="1"/>
        <v>0</v>
      </c>
      <c r="AR28" s="438">
        <f t="shared" si="2"/>
        <v>0</v>
      </c>
      <c r="AS28" s="439">
        <f t="shared" si="3"/>
        <v>0</v>
      </c>
      <c r="AT28" s="438">
        <f t="shared" si="4"/>
        <v>0</v>
      </c>
      <c r="AU28" s="422"/>
      <c r="AV28" s="422"/>
      <c r="AW28" s="422"/>
      <c r="AX28" s="422"/>
      <c r="AY28" s="422"/>
      <c r="AZ28" s="422"/>
    </row>
    <row r="29" ht="15.75" customHeight="1">
      <c r="D29" s="452"/>
      <c r="E29" s="166"/>
      <c r="F29" s="166"/>
      <c r="G29" s="166"/>
      <c r="H29" s="166"/>
      <c r="I29" s="433"/>
      <c r="J29" s="434"/>
      <c r="K29" s="74"/>
      <c r="L29" s="74"/>
      <c r="M29" s="74"/>
      <c r="N29" s="74"/>
      <c r="O29" s="74"/>
      <c r="P29" s="74"/>
      <c r="Q29" s="74"/>
      <c r="R29" s="435"/>
      <c r="S29" s="74"/>
      <c r="T29" s="74"/>
      <c r="U29" s="436">
        <v>0.0</v>
      </c>
      <c r="V29" s="74"/>
      <c r="W29" s="74"/>
      <c r="Z29" s="433"/>
      <c r="AA29" s="434"/>
      <c r="AB29" s="74"/>
      <c r="AC29" s="74"/>
      <c r="AD29" s="74"/>
      <c r="AE29" s="74"/>
      <c r="AF29" s="74"/>
      <c r="AG29" s="74"/>
      <c r="AH29" s="74"/>
      <c r="AI29" s="435"/>
      <c r="AJ29" s="74"/>
      <c r="AK29" s="74"/>
      <c r="AL29" s="436">
        <v>0.0</v>
      </c>
      <c r="AM29" s="74"/>
      <c r="AN29" s="74"/>
      <c r="AQ29" s="437">
        <f t="shared" si="1"/>
        <v>0</v>
      </c>
      <c r="AR29" s="438">
        <f t="shared" si="2"/>
        <v>0</v>
      </c>
      <c r="AS29" s="439">
        <f t="shared" si="3"/>
        <v>0</v>
      </c>
      <c r="AT29" s="438">
        <f t="shared" si="4"/>
        <v>0</v>
      </c>
      <c r="AU29" s="422"/>
      <c r="AV29" s="422"/>
      <c r="AW29" s="422"/>
      <c r="AX29" s="422"/>
      <c r="AY29" s="422"/>
      <c r="AZ29" s="422"/>
    </row>
    <row r="30" ht="15.75" customHeight="1">
      <c r="D30" s="453"/>
      <c r="E30" s="74"/>
      <c r="F30" s="74"/>
      <c r="G30" s="74"/>
      <c r="H30" s="74"/>
      <c r="I30" s="433"/>
      <c r="J30" s="434"/>
      <c r="K30" s="74"/>
      <c r="L30" s="74"/>
      <c r="M30" s="74"/>
      <c r="N30" s="74"/>
      <c r="O30" s="74"/>
      <c r="P30" s="74"/>
      <c r="Q30" s="74"/>
      <c r="R30" s="435"/>
      <c r="S30" s="74"/>
      <c r="T30" s="74"/>
      <c r="U30" s="436">
        <v>0.0</v>
      </c>
      <c r="V30" s="74"/>
      <c r="W30" s="74"/>
      <c r="Z30" s="433"/>
      <c r="AA30" s="434"/>
      <c r="AB30" s="74"/>
      <c r="AC30" s="74"/>
      <c r="AD30" s="74"/>
      <c r="AE30" s="74"/>
      <c r="AF30" s="74"/>
      <c r="AG30" s="74"/>
      <c r="AH30" s="74"/>
      <c r="AI30" s="435"/>
      <c r="AJ30" s="74"/>
      <c r="AK30" s="74"/>
      <c r="AL30" s="436">
        <v>0.0</v>
      </c>
      <c r="AM30" s="74"/>
      <c r="AN30" s="74"/>
      <c r="AQ30" s="437">
        <f t="shared" si="1"/>
        <v>0</v>
      </c>
      <c r="AR30" s="438">
        <f t="shared" si="2"/>
        <v>0</v>
      </c>
      <c r="AS30" s="439">
        <f t="shared" si="3"/>
        <v>0</v>
      </c>
      <c r="AT30" s="438">
        <f t="shared" si="4"/>
        <v>0</v>
      </c>
      <c r="AU30" s="422"/>
      <c r="AV30" s="422"/>
      <c r="AW30" s="422"/>
      <c r="AX30" s="422"/>
      <c r="AY30" s="422"/>
      <c r="AZ30" s="422"/>
    </row>
    <row r="31" ht="15.75" customHeight="1">
      <c r="D31" s="453"/>
      <c r="E31" s="74"/>
      <c r="F31" s="74"/>
      <c r="G31" s="74"/>
      <c r="H31" s="74"/>
      <c r="I31" s="433"/>
      <c r="J31" s="434"/>
      <c r="K31" s="74"/>
      <c r="L31" s="74"/>
      <c r="M31" s="74"/>
      <c r="N31" s="74"/>
      <c r="O31" s="74"/>
      <c r="P31" s="74"/>
      <c r="Q31" s="74"/>
      <c r="R31" s="440"/>
      <c r="S31" s="74"/>
      <c r="T31" s="74"/>
      <c r="U31" s="436">
        <v>0.0</v>
      </c>
      <c r="V31" s="74"/>
      <c r="W31" s="74"/>
      <c r="Z31" s="433"/>
      <c r="AA31" s="434"/>
      <c r="AB31" s="74"/>
      <c r="AC31" s="74"/>
      <c r="AD31" s="74"/>
      <c r="AE31" s="74"/>
      <c r="AF31" s="74"/>
      <c r="AG31" s="74"/>
      <c r="AH31" s="74"/>
      <c r="AI31" s="440"/>
      <c r="AJ31" s="74"/>
      <c r="AK31" s="74"/>
      <c r="AL31" s="436">
        <v>0.0</v>
      </c>
      <c r="AM31" s="74"/>
      <c r="AN31" s="74"/>
      <c r="AQ31" s="437">
        <f t="shared" si="1"/>
        <v>0</v>
      </c>
      <c r="AR31" s="438">
        <f t="shared" si="2"/>
        <v>0</v>
      </c>
      <c r="AS31" s="439">
        <f t="shared" si="3"/>
        <v>0</v>
      </c>
      <c r="AT31" s="438">
        <f t="shared" si="4"/>
        <v>0</v>
      </c>
      <c r="AU31" s="422"/>
      <c r="AV31" s="422"/>
      <c r="AW31" s="422"/>
      <c r="AX31" s="422"/>
      <c r="AY31" s="422"/>
      <c r="AZ31" s="422"/>
    </row>
    <row r="32" ht="15.75" customHeight="1">
      <c r="D32" s="453"/>
      <c r="E32" s="74"/>
      <c r="F32" s="74"/>
      <c r="G32" s="74"/>
      <c r="H32" s="74"/>
      <c r="I32" s="433"/>
      <c r="J32" s="434"/>
      <c r="K32" s="74"/>
      <c r="L32" s="74"/>
      <c r="M32" s="74"/>
      <c r="N32" s="74"/>
      <c r="O32" s="74"/>
      <c r="P32" s="74"/>
      <c r="Q32" s="74"/>
      <c r="R32" s="435"/>
      <c r="S32" s="74"/>
      <c r="T32" s="74"/>
      <c r="U32" s="436">
        <v>0.0</v>
      </c>
      <c r="V32" s="74"/>
      <c r="W32" s="74"/>
      <c r="Z32" s="433"/>
      <c r="AA32" s="434"/>
      <c r="AB32" s="74"/>
      <c r="AC32" s="74"/>
      <c r="AD32" s="74"/>
      <c r="AE32" s="74"/>
      <c r="AF32" s="74"/>
      <c r="AG32" s="74"/>
      <c r="AH32" s="74"/>
      <c r="AI32" s="435"/>
      <c r="AJ32" s="74"/>
      <c r="AK32" s="74"/>
      <c r="AL32" s="436">
        <v>0.0</v>
      </c>
      <c r="AM32" s="74"/>
      <c r="AN32" s="74"/>
      <c r="AQ32" s="437">
        <f t="shared" si="1"/>
        <v>0</v>
      </c>
      <c r="AR32" s="438">
        <f t="shared" si="2"/>
        <v>0</v>
      </c>
      <c r="AS32" s="439">
        <f t="shared" si="3"/>
        <v>0</v>
      </c>
      <c r="AT32" s="438">
        <f t="shared" si="4"/>
        <v>0</v>
      </c>
      <c r="AU32" s="422"/>
      <c r="AV32" s="422"/>
      <c r="AW32" s="422"/>
      <c r="AX32" s="422"/>
      <c r="AY32" s="422"/>
      <c r="AZ32" s="422"/>
    </row>
    <row r="33" ht="15.75" customHeight="1">
      <c r="D33" s="453"/>
      <c r="E33" s="74"/>
      <c r="F33" s="74"/>
      <c r="G33" s="74"/>
      <c r="H33" s="74"/>
      <c r="I33" s="433"/>
      <c r="J33" s="434"/>
      <c r="K33" s="74"/>
      <c r="L33" s="74"/>
      <c r="M33" s="74"/>
      <c r="N33" s="74"/>
      <c r="O33" s="74"/>
      <c r="P33" s="74"/>
      <c r="Q33" s="74"/>
      <c r="R33" s="435"/>
      <c r="S33" s="74"/>
      <c r="T33" s="74"/>
      <c r="U33" s="436">
        <v>0.0</v>
      </c>
      <c r="V33" s="74"/>
      <c r="W33" s="74"/>
      <c r="Z33" s="433"/>
      <c r="AA33" s="434"/>
      <c r="AB33" s="74"/>
      <c r="AC33" s="74"/>
      <c r="AD33" s="74"/>
      <c r="AE33" s="74"/>
      <c r="AF33" s="74"/>
      <c r="AG33" s="74"/>
      <c r="AH33" s="74"/>
      <c r="AI33" s="435"/>
      <c r="AJ33" s="74"/>
      <c r="AK33" s="74"/>
      <c r="AL33" s="436">
        <v>0.0</v>
      </c>
      <c r="AM33" s="74"/>
      <c r="AN33" s="74"/>
      <c r="AQ33" s="437">
        <f t="shared" si="1"/>
        <v>0</v>
      </c>
      <c r="AR33" s="438">
        <f t="shared" si="2"/>
        <v>0</v>
      </c>
      <c r="AS33" s="439">
        <f t="shared" si="3"/>
        <v>0</v>
      </c>
      <c r="AT33" s="438">
        <f t="shared" si="4"/>
        <v>0</v>
      </c>
      <c r="AU33" s="422"/>
      <c r="AV33" s="422"/>
      <c r="AW33" s="422"/>
      <c r="AX33" s="422"/>
      <c r="AY33" s="422"/>
      <c r="AZ33" s="422"/>
    </row>
    <row r="34" ht="15.75" customHeight="1">
      <c r="D34" s="453"/>
      <c r="E34" s="74"/>
      <c r="F34" s="74"/>
      <c r="G34" s="74"/>
      <c r="H34" s="74"/>
      <c r="I34" s="433"/>
      <c r="J34" s="434"/>
      <c r="K34" s="74"/>
      <c r="L34" s="74"/>
      <c r="M34" s="74"/>
      <c r="N34" s="74"/>
      <c r="O34" s="74"/>
      <c r="P34" s="74"/>
      <c r="Q34" s="74"/>
      <c r="R34" s="440"/>
      <c r="S34" s="74"/>
      <c r="T34" s="74"/>
      <c r="U34" s="436">
        <v>0.0</v>
      </c>
      <c r="V34" s="74"/>
      <c r="W34" s="74"/>
      <c r="Z34" s="433"/>
      <c r="AA34" s="434"/>
      <c r="AB34" s="74"/>
      <c r="AC34" s="74"/>
      <c r="AD34" s="74"/>
      <c r="AE34" s="74"/>
      <c r="AF34" s="74"/>
      <c r="AG34" s="74"/>
      <c r="AH34" s="74"/>
      <c r="AI34" s="440"/>
      <c r="AJ34" s="74"/>
      <c r="AK34" s="74"/>
      <c r="AL34" s="436">
        <v>0.0</v>
      </c>
      <c r="AM34" s="74"/>
      <c r="AN34" s="74"/>
      <c r="AQ34" s="437">
        <f t="shared" si="1"/>
        <v>0</v>
      </c>
      <c r="AR34" s="438">
        <f t="shared" si="2"/>
        <v>0</v>
      </c>
      <c r="AS34" s="439">
        <f t="shared" si="3"/>
        <v>0</v>
      </c>
      <c r="AT34" s="438">
        <f t="shared" si="4"/>
        <v>0</v>
      </c>
      <c r="AU34" s="422"/>
      <c r="AV34" s="422"/>
      <c r="AW34" s="422"/>
      <c r="AX34" s="422"/>
      <c r="AY34" s="422"/>
      <c r="AZ34" s="422"/>
    </row>
    <row r="35" ht="15.75" customHeight="1">
      <c r="D35" s="453"/>
      <c r="E35" s="74"/>
      <c r="F35" s="74"/>
      <c r="G35" s="74"/>
      <c r="H35" s="74"/>
      <c r="I35" s="433"/>
      <c r="J35" s="434"/>
      <c r="K35" s="74"/>
      <c r="L35" s="74"/>
      <c r="M35" s="74"/>
      <c r="N35" s="74"/>
      <c r="O35" s="74"/>
      <c r="P35" s="74"/>
      <c r="Q35" s="74"/>
      <c r="R35" s="435"/>
      <c r="S35" s="74"/>
      <c r="T35" s="74"/>
      <c r="U35" s="436">
        <v>0.0</v>
      </c>
      <c r="V35" s="74"/>
      <c r="W35" s="74"/>
      <c r="Z35" s="433"/>
      <c r="AA35" s="434"/>
      <c r="AB35" s="74"/>
      <c r="AC35" s="74"/>
      <c r="AD35" s="74"/>
      <c r="AE35" s="74"/>
      <c r="AF35" s="74"/>
      <c r="AG35" s="74"/>
      <c r="AH35" s="74"/>
      <c r="AI35" s="435"/>
      <c r="AJ35" s="74"/>
      <c r="AK35" s="74"/>
      <c r="AL35" s="436">
        <v>0.0</v>
      </c>
      <c r="AM35" s="74"/>
      <c r="AN35" s="74"/>
      <c r="AQ35" s="437">
        <f t="shared" si="1"/>
        <v>0</v>
      </c>
      <c r="AR35" s="438">
        <f t="shared" si="2"/>
        <v>0</v>
      </c>
      <c r="AS35" s="439">
        <f t="shared" si="3"/>
        <v>0</v>
      </c>
      <c r="AT35" s="438">
        <f t="shared" si="4"/>
        <v>0</v>
      </c>
      <c r="AU35" s="422"/>
      <c r="AV35" s="422"/>
      <c r="AW35" s="422"/>
      <c r="AX35" s="422"/>
      <c r="AY35" s="422"/>
      <c r="AZ35" s="422"/>
    </row>
    <row r="36" ht="15.75" customHeight="1">
      <c r="D36" s="453"/>
      <c r="E36" s="74"/>
      <c r="F36" s="74"/>
      <c r="G36" s="74"/>
      <c r="H36" s="74"/>
      <c r="I36" s="433"/>
      <c r="J36" s="434"/>
      <c r="K36" s="74"/>
      <c r="L36" s="74"/>
      <c r="M36" s="74"/>
      <c r="N36" s="74"/>
      <c r="O36" s="74"/>
      <c r="P36" s="74"/>
      <c r="Q36" s="74"/>
      <c r="R36" s="435"/>
      <c r="S36" s="74"/>
      <c r="T36" s="74"/>
      <c r="U36" s="436">
        <v>0.0</v>
      </c>
      <c r="V36" s="74"/>
      <c r="W36" s="74"/>
      <c r="Z36" s="433"/>
      <c r="AA36" s="434"/>
      <c r="AB36" s="74"/>
      <c r="AC36" s="74"/>
      <c r="AD36" s="74"/>
      <c r="AE36" s="74"/>
      <c r="AF36" s="74"/>
      <c r="AG36" s="74"/>
      <c r="AH36" s="74"/>
      <c r="AI36" s="435"/>
      <c r="AJ36" s="74"/>
      <c r="AK36" s="74"/>
      <c r="AL36" s="436">
        <v>0.0</v>
      </c>
      <c r="AM36" s="74"/>
      <c r="AN36" s="74"/>
      <c r="AQ36" s="437">
        <f t="shared" si="1"/>
        <v>0</v>
      </c>
      <c r="AR36" s="438">
        <f t="shared" si="2"/>
        <v>0</v>
      </c>
      <c r="AS36" s="439">
        <f t="shared" si="3"/>
        <v>0</v>
      </c>
      <c r="AT36" s="438">
        <f t="shared" si="4"/>
        <v>0</v>
      </c>
      <c r="AU36" s="422"/>
      <c r="AV36" s="422"/>
      <c r="AW36" s="422"/>
      <c r="AX36" s="422"/>
      <c r="AY36" s="422"/>
      <c r="AZ36" s="422"/>
    </row>
    <row r="37" ht="15.75" customHeight="1">
      <c r="D37" s="453"/>
      <c r="E37" s="74"/>
      <c r="F37" s="74"/>
      <c r="G37" s="74"/>
      <c r="H37" s="74"/>
      <c r="I37" s="433"/>
      <c r="J37" s="434"/>
      <c r="K37" s="74"/>
      <c r="L37" s="74"/>
      <c r="M37" s="74"/>
      <c r="N37" s="74"/>
      <c r="O37" s="74"/>
      <c r="P37" s="74"/>
      <c r="Q37" s="74"/>
      <c r="R37" s="435"/>
      <c r="S37" s="74"/>
      <c r="T37" s="74"/>
      <c r="U37" s="436">
        <v>0.0</v>
      </c>
      <c r="V37" s="74"/>
      <c r="W37" s="74"/>
      <c r="Z37" s="433"/>
      <c r="AA37" s="434"/>
      <c r="AB37" s="74"/>
      <c r="AC37" s="74"/>
      <c r="AD37" s="74"/>
      <c r="AE37" s="74"/>
      <c r="AF37" s="74"/>
      <c r="AG37" s="74"/>
      <c r="AH37" s="74"/>
      <c r="AI37" s="435"/>
      <c r="AJ37" s="74"/>
      <c r="AK37" s="74"/>
      <c r="AL37" s="436">
        <v>0.0</v>
      </c>
      <c r="AM37" s="74"/>
      <c r="AN37" s="74"/>
      <c r="AQ37" s="437">
        <f t="shared" si="1"/>
        <v>0</v>
      </c>
      <c r="AR37" s="438">
        <f t="shared" si="2"/>
        <v>0</v>
      </c>
      <c r="AS37" s="439">
        <f t="shared" si="3"/>
        <v>0</v>
      </c>
      <c r="AT37" s="438">
        <f t="shared" si="4"/>
        <v>0</v>
      </c>
      <c r="AU37" s="422"/>
      <c r="AV37" s="422"/>
      <c r="AW37" s="422"/>
      <c r="AX37" s="422"/>
      <c r="AY37" s="422"/>
      <c r="AZ37" s="422"/>
    </row>
    <row r="38" ht="15.75" customHeight="1">
      <c r="D38" s="453"/>
      <c r="E38" s="74"/>
      <c r="F38" s="74"/>
      <c r="G38" s="74"/>
      <c r="H38" s="74"/>
      <c r="I38" s="433"/>
      <c r="J38" s="434"/>
      <c r="K38" s="74"/>
      <c r="L38" s="74"/>
      <c r="M38" s="74"/>
      <c r="N38" s="74"/>
      <c r="O38" s="74"/>
      <c r="P38" s="74"/>
      <c r="Q38" s="74"/>
      <c r="R38" s="440"/>
      <c r="S38" s="74"/>
      <c r="T38" s="74"/>
      <c r="U38" s="436">
        <v>0.0</v>
      </c>
      <c r="V38" s="74"/>
      <c r="W38" s="74"/>
      <c r="Z38" s="433"/>
      <c r="AA38" s="434"/>
      <c r="AB38" s="74"/>
      <c r="AC38" s="74"/>
      <c r="AD38" s="74"/>
      <c r="AE38" s="74"/>
      <c r="AF38" s="74"/>
      <c r="AG38" s="74"/>
      <c r="AH38" s="74"/>
      <c r="AI38" s="440"/>
      <c r="AJ38" s="74"/>
      <c r="AK38" s="74"/>
      <c r="AL38" s="436">
        <v>0.0</v>
      </c>
      <c r="AM38" s="74"/>
      <c r="AN38" s="74"/>
      <c r="AQ38" s="437">
        <f t="shared" si="1"/>
        <v>0</v>
      </c>
      <c r="AR38" s="438">
        <f t="shared" si="2"/>
        <v>0</v>
      </c>
      <c r="AS38" s="439">
        <f t="shared" si="3"/>
        <v>0</v>
      </c>
      <c r="AT38" s="438">
        <f t="shared" si="4"/>
        <v>0</v>
      </c>
      <c r="AU38" s="422"/>
      <c r="AV38" s="422"/>
      <c r="AW38" s="422"/>
      <c r="AX38" s="422"/>
      <c r="AY38" s="422"/>
      <c r="AZ38" s="422"/>
    </row>
    <row r="39" ht="15.75" customHeight="1">
      <c r="D39" s="453"/>
      <c r="E39" s="74"/>
      <c r="F39" s="74"/>
      <c r="G39" s="74"/>
      <c r="H39" s="74"/>
      <c r="I39" s="433"/>
      <c r="J39" s="434"/>
      <c r="K39" s="74"/>
      <c r="L39" s="74"/>
      <c r="M39" s="74"/>
      <c r="N39" s="74"/>
      <c r="O39" s="74"/>
      <c r="P39" s="74"/>
      <c r="Q39" s="74"/>
      <c r="R39" s="435"/>
      <c r="S39" s="74"/>
      <c r="T39" s="74"/>
      <c r="U39" s="436">
        <v>0.0</v>
      </c>
      <c r="V39" s="74"/>
      <c r="W39" s="74"/>
      <c r="Z39" s="433"/>
      <c r="AA39" s="434"/>
      <c r="AB39" s="74"/>
      <c r="AC39" s="74"/>
      <c r="AD39" s="74"/>
      <c r="AE39" s="74"/>
      <c r="AF39" s="74"/>
      <c r="AG39" s="74"/>
      <c r="AH39" s="74"/>
      <c r="AI39" s="435"/>
      <c r="AJ39" s="74"/>
      <c r="AK39" s="74"/>
      <c r="AL39" s="436">
        <v>0.0</v>
      </c>
      <c r="AM39" s="74"/>
      <c r="AN39" s="74"/>
      <c r="AQ39" s="437">
        <f t="shared" si="1"/>
        <v>0</v>
      </c>
      <c r="AR39" s="438">
        <f t="shared" si="2"/>
        <v>0</v>
      </c>
      <c r="AS39" s="439">
        <f t="shared" si="3"/>
        <v>0</v>
      </c>
      <c r="AT39" s="438">
        <f t="shared" si="4"/>
        <v>0</v>
      </c>
      <c r="AU39" s="422"/>
      <c r="AV39" s="422"/>
      <c r="AW39" s="422"/>
      <c r="AX39" s="422"/>
      <c r="AY39" s="422"/>
      <c r="AZ39" s="422"/>
    </row>
    <row r="40" ht="15.75" customHeight="1">
      <c r="D40" s="453"/>
      <c r="E40" s="74"/>
      <c r="F40" s="74"/>
      <c r="G40" s="74"/>
      <c r="H40" s="74"/>
      <c r="I40" s="433"/>
      <c r="J40" s="434"/>
      <c r="K40" s="74"/>
      <c r="L40" s="74"/>
      <c r="M40" s="74"/>
      <c r="N40" s="74"/>
      <c r="O40" s="74"/>
      <c r="P40" s="74"/>
      <c r="Q40" s="74"/>
      <c r="R40" s="435"/>
      <c r="S40" s="74"/>
      <c r="T40" s="74"/>
      <c r="U40" s="436">
        <v>0.0</v>
      </c>
      <c r="V40" s="74"/>
      <c r="W40" s="74"/>
      <c r="Z40" s="433"/>
      <c r="AA40" s="434"/>
      <c r="AB40" s="74"/>
      <c r="AC40" s="74"/>
      <c r="AD40" s="74"/>
      <c r="AE40" s="74"/>
      <c r="AF40" s="74"/>
      <c r="AG40" s="74"/>
      <c r="AH40" s="74"/>
      <c r="AI40" s="435"/>
      <c r="AJ40" s="74"/>
      <c r="AK40" s="74"/>
      <c r="AL40" s="436">
        <v>0.0</v>
      </c>
      <c r="AM40" s="74"/>
      <c r="AN40" s="74"/>
      <c r="AQ40" s="437">
        <f t="shared" si="1"/>
        <v>0</v>
      </c>
      <c r="AR40" s="438">
        <f t="shared" si="2"/>
        <v>0</v>
      </c>
      <c r="AS40" s="439">
        <f t="shared" si="3"/>
        <v>0</v>
      </c>
      <c r="AT40" s="438">
        <f t="shared" si="4"/>
        <v>0</v>
      </c>
      <c r="AU40" s="422"/>
      <c r="AV40" s="422"/>
      <c r="AW40" s="422"/>
      <c r="AX40" s="422"/>
      <c r="AY40" s="422"/>
      <c r="AZ40" s="422"/>
    </row>
    <row r="41" ht="15.75" customHeight="1">
      <c r="D41" s="453"/>
      <c r="E41" s="74"/>
      <c r="F41" s="74"/>
      <c r="G41" s="74"/>
      <c r="H41" s="74"/>
      <c r="I41" s="433"/>
      <c r="J41" s="434"/>
      <c r="K41" s="74"/>
      <c r="L41" s="74"/>
      <c r="M41" s="74"/>
      <c r="N41" s="74"/>
      <c r="O41" s="74"/>
      <c r="P41" s="74"/>
      <c r="Q41" s="74"/>
      <c r="R41" s="435"/>
      <c r="S41" s="74"/>
      <c r="T41" s="74"/>
      <c r="U41" s="436">
        <v>0.0</v>
      </c>
      <c r="V41" s="74"/>
      <c r="W41" s="74"/>
      <c r="Z41" s="433"/>
      <c r="AA41" s="434"/>
      <c r="AB41" s="74"/>
      <c r="AC41" s="74"/>
      <c r="AD41" s="74"/>
      <c r="AE41" s="74"/>
      <c r="AF41" s="74"/>
      <c r="AG41" s="74"/>
      <c r="AH41" s="74"/>
      <c r="AI41" s="435"/>
      <c r="AJ41" s="74"/>
      <c r="AK41" s="74"/>
      <c r="AL41" s="436">
        <v>0.0</v>
      </c>
      <c r="AM41" s="74"/>
      <c r="AN41" s="74"/>
      <c r="AQ41" s="437">
        <f t="shared" si="1"/>
        <v>0</v>
      </c>
      <c r="AR41" s="438">
        <f t="shared" si="2"/>
        <v>0</v>
      </c>
      <c r="AS41" s="439">
        <f t="shared" si="3"/>
        <v>0</v>
      </c>
      <c r="AT41" s="438">
        <f t="shared" si="4"/>
        <v>0</v>
      </c>
      <c r="AU41" s="422"/>
      <c r="AV41" s="422"/>
      <c r="AW41" s="422"/>
      <c r="AX41" s="422"/>
      <c r="AY41" s="422"/>
      <c r="AZ41" s="422"/>
    </row>
    <row r="42" ht="15.75" customHeight="1">
      <c r="D42" s="453"/>
      <c r="E42" s="74"/>
      <c r="F42" s="74"/>
      <c r="G42" s="74"/>
      <c r="H42" s="74"/>
      <c r="I42" s="433"/>
      <c r="J42" s="434"/>
      <c r="K42" s="74"/>
      <c r="L42" s="74"/>
      <c r="M42" s="74"/>
      <c r="N42" s="74"/>
      <c r="O42" s="74"/>
      <c r="P42" s="74"/>
      <c r="Q42" s="74"/>
      <c r="R42" s="435"/>
      <c r="S42" s="74"/>
      <c r="T42" s="74"/>
      <c r="U42" s="436">
        <v>0.0</v>
      </c>
      <c r="V42" s="74"/>
      <c r="W42" s="74"/>
      <c r="Z42" s="433"/>
      <c r="AA42" s="434"/>
      <c r="AB42" s="74"/>
      <c r="AC42" s="74"/>
      <c r="AD42" s="74"/>
      <c r="AE42" s="74"/>
      <c r="AF42" s="74"/>
      <c r="AG42" s="74"/>
      <c r="AH42" s="74"/>
      <c r="AI42" s="435"/>
      <c r="AJ42" s="74"/>
      <c r="AK42" s="74"/>
      <c r="AL42" s="436">
        <v>0.0</v>
      </c>
      <c r="AM42" s="74"/>
      <c r="AN42" s="74"/>
      <c r="AQ42" s="437">
        <f t="shared" si="1"/>
        <v>0</v>
      </c>
      <c r="AR42" s="438">
        <f t="shared" si="2"/>
        <v>0</v>
      </c>
      <c r="AS42" s="439">
        <f t="shared" si="3"/>
        <v>0</v>
      </c>
      <c r="AT42" s="438">
        <f t="shared" si="4"/>
        <v>0</v>
      </c>
      <c r="AU42" s="422"/>
      <c r="AV42" s="422"/>
      <c r="AW42" s="422"/>
      <c r="AX42" s="422"/>
      <c r="AY42" s="422"/>
      <c r="AZ42" s="422"/>
    </row>
    <row r="43" ht="15.75" customHeight="1">
      <c r="D43" s="453"/>
      <c r="E43" s="74"/>
      <c r="F43" s="74"/>
      <c r="G43" s="74"/>
      <c r="H43" s="74"/>
      <c r="I43" s="433"/>
      <c r="J43" s="434"/>
      <c r="K43" s="74"/>
      <c r="L43" s="74"/>
      <c r="M43" s="74"/>
      <c r="N43" s="74"/>
      <c r="O43" s="74"/>
      <c r="P43" s="74"/>
      <c r="Q43" s="74"/>
      <c r="R43" s="435"/>
      <c r="S43" s="74"/>
      <c r="T43" s="74"/>
      <c r="U43" s="436">
        <v>0.0</v>
      </c>
      <c r="V43" s="74"/>
      <c r="W43" s="74"/>
      <c r="Z43" s="433"/>
      <c r="AA43" s="434"/>
      <c r="AB43" s="74"/>
      <c r="AC43" s="74"/>
      <c r="AD43" s="74"/>
      <c r="AE43" s="74"/>
      <c r="AF43" s="74"/>
      <c r="AG43" s="74"/>
      <c r="AH43" s="74"/>
      <c r="AI43" s="435"/>
      <c r="AJ43" s="74"/>
      <c r="AK43" s="74"/>
      <c r="AL43" s="436">
        <v>0.0</v>
      </c>
      <c r="AM43" s="74"/>
      <c r="AN43" s="74"/>
      <c r="AQ43" s="437">
        <f t="shared" si="1"/>
        <v>0</v>
      </c>
      <c r="AR43" s="438">
        <f t="shared" si="2"/>
        <v>0</v>
      </c>
      <c r="AS43" s="439">
        <f t="shared" si="3"/>
        <v>0</v>
      </c>
      <c r="AT43" s="438">
        <f t="shared" si="4"/>
        <v>0</v>
      </c>
      <c r="AU43" s="422"/>
      <c r="AV43" s="422"/>
      <c r="AW43" s="422"/>
      <c r="AX43" s="422"/>
      <c r="AY43" s="422"/>
      <c r="AZ43" s="422"/>
    </row>
    <row r="44" ht="15.75" customHeight="1">
      <c r="D44" s="453"/>
      <c r="E44" s="74"/>
      <c r="F44" s="74"/>
      <c r="G44" s="74"/>
      <c r="H44" s="74"/>
      <c r="I44" s="433"/>
      <c r="J44" s="434"/>
      <c r="K44" s="74"/>
      <c r="L44" s="74"/>
      <c r="M44" s="74"/>
      <c r="N44" s="74"/>
      <c r="O44" s="74"/>
      <c r="P44" s="74"/>
      <c r="Q44" s="74"/>
      <c r="R44" s="440"/>
      <c r="S44" s="74"/>
      <c r="T44" s="74"/>
      <c r="U44" s="436">
        <v>0.0</v>
      </c>
      <c r="V44" s="74"/>
      <c r="W44" s="74"/>
      <c r="Z44" s="433"/>
      <c r="AA44" s="434"/>
      <c r="AB44" s="74"/>
      <c r="AC44" s="74"/>
      <c r="AD44" s="74"/>
      <c r="AE44" s="74"/>
      <c r="AF44" s="74"/>
      <c r="AG44" s="74"/>
      <c r="AH44" s="74"/>
      <c r="AI44" s="440"/>
      <c r="AJ44" s="74"/>
      <c r="AK44" s="74"/>
      <c r="AL44" s="436">
        <v>0.0</v>
      </c>
      <c r="AM44" s="74"/>
      <c r="AN44" s="74"/>
      <c r="AQ44" s="437">
        <f t="shared" si="1"/>
        <v>0</v>
      </c>
      <c r="AR44" s="438">
        <f t="shared" si="2"/>
        <v>0</v>
      </c>
      <c r="AS44" s="439">
        <f t="shared" si="3"/>
        <v>0</v>
      </c>
      <c r="AT44" s="438">
        <f t="shared" si="4"/>
        <v>0</v>
      </c>
      <c r="AU44" s="422"/>
      <c r="AV44" s="422"/>
      <c r="AW44" s="422"/>
      <c r="AX44" s="422"/>
      <c r="AY44" s="422"/>
      <c r="AZ44" s="422"/>
    </row>
    <row r="45" ht="15.75" customHeight="1">
      <c r="D45" s="453"/>
      <c r="E45" s="74"/>
      <c r="F45" s="74"/>
      <c r="G45" s="74"/>
      <c r="H45" s="74"/>
      <c r="I45" s="433"/>
      <c r="J45" s="434"/>
      <c r="K45" s="74"/>
      <c r="L45" s="74"/>
      <c r="M45" s="74"/>
      <c r="N45" s="74"/>
      <c r="O45" s="74"/>
      <c r="P45" s="74"/>
      <c r="Q45" s="74"/>
      <c r="R45" s="440"/>
      <c r="S45" s="74"/>
      <c r="T45" s="74"/>
      <c r="U45" s="436">
        <v>0.0</v>
      </c>
      <c r="V45" s="74"/>
      <c r="W45" s="74"/>
      <c r="Z45" s="433"/>
      <c r="AA45" s="434"/>
      <c r="AB45" s="74"/>
      <c r="AC45" s="74"/>
      <c r="AD45" s="74"/>
      <c r="AE45" s="74"/>
      <c r="AF45" s="74"/>
      <c r="AG45" s="74"/>
      <c r="AH45" s="74"/>
      <c r="AI45" s="440"/>
      <c r="AJ45" s="74"/>
      <c r="AK45" s="74"/>
      <c r="AL45" s="436">
        <v>0.0</v>
      </c>
      <c r="AM45" s="74"/>
      <c r="AN45" s="74"/>
      <c r="AQ45" s="437">
        <f t="shared" si="1"/>
        <v>0</v>
      </c>
      <c r="AR45" s="438">
        <f t="shared" si="2"/>
        <v>0</v>
      </c>
      <c r="AS45" s="439">
        <f t="shared" si="3"/>
        <v>0</v>
      </c>
      <c r="AT45" s="438">
        <f t="shared" si="4"/>
        <v>0</v>
      </c>
      <c r="AU45" s="422"/>
      <c r="AV45" s="422"/>
      <c r="AW45" s="422"/>
      <c r="AX45" s="422"/>
      <c r="AY45" s="422"/>
      <c r="AZ45" s="422"/>
    </row>
    <row r="46" ht="15.75" customHeight="1">
      <c r="D46" s="453"/>
      <c r="E46" s="74"/>
      <c r="F46" s="74"/>
      <c r="G46" s="74"/>
      <c r="H46" s="74"/>
      <c r="I46" s="433"/>
      <c r="J46" s="434"/>
      <c r="K46" s="74"/>
      <c r="L46" s="74"/>
      <c r="M46" s="74"/>
      <c r="N46" s="74"/>
      <c r="O46" s="74"/>
      <c r="P46" s="74"/>
      <c r="Q46" s="74"/>
      <c r="R46" s="435"/>
      <c r="S46" s="74"/>
      <c r="T46" s="74"/>
      <c r="U46" s="436">
        <v>0.0</v>
      </c>
      <c r="V46" s="74"/>
      <c r="W46" s="74"/>
      <c r="Z46" s="433"/>
      <c r="AA46" s="434"/>
      <c r="AB46" s="74"/>
      <c r="AC46" s="74"/>
      <c r="AD46" s="74"/>
      <c r="AE46" s="74"/>
      <c r="AF46" s="74"/>
      <c r="AG46" s="74"/>
      <c r="AH46" s="74"/>
      <c r="AI46" s="435"/>
      <c r="AJ46" s="74"/>
      <c r="AK46" s="74"/>
      <c r="AL46" s="436">
        <v>0.0</v>
      </c>
      <c r="AM46" s="74"/>
      <c r="AN46" s="74"/>
      <c r="AQ46" s="437">
        <f t="shared" si="1"/>
        <v>0</v>
      </c>
      <c r="AR46" s="438">
        <f t="shared" si="2"/>
        <v>0</v>
      </c>
      <c r="AS46" s="439">
        <f t="shared" si="3"/>
        <v>0</v>
      </c>
      <c r="AT46" s="438">
        <f t="shared" si="4"/>
        <v>0</v>
      </c>
      <c r="AU46" s="422"/>
      <c r="AV46" s="422"/>
      <c r="AW46" s="422"/>
      <c r="AX46" s="422"/>
      <c r="AY46" s="422"/>
      <c r="AZ46" s="422"/>
    </row>
    <row r="47" ht="15.75" customHeight="1">
      <c r="D47" s="453"/>
      <c r="E47" s="74"/>
      <c r="F47" s="74"/>
      <c r="G47" s="74"/>
      <c r="H47" s="74"/>
      <c r="I47" s="433"/>
      <c r="J47" s="434"/>
      <c r="K47" s="74"/>
      <c r="L47" s="74"/>
      <c r="M47" s="74"/>
      <c r="N47" s="74"/>
      <c r="O47" s="74"/>
      <c r="P47" s="74"/>
      <c r="Q47" s="74"/>
      <c r="R47" s="435"/>
      <c r="S47" s="74"/>
      <c r="T47" s="74"/>
      <c r="U47" s="436">
        <v>0.0</v>
      </c>
      <c r="V47" s="74"/>
      <c r="W47" s="74"/>
      <c r="Z47" s="433"/>
      <c r="AA47" s="434"/>
      <c r="AB47" s="74"/>
      <c r="AC47" s="74"/>
      <c r="AD47" s="74"/>
      <c r="AE47" s="74"/>
      <c r="AF47" s="74"/>
      <c r="AG47" s="74"/>
      <c r="AH47" s="74"/>
      <c r="AI47" s="435"/>
      <c r="AJ47" s="74"/>
      <c r="AK47" s="74"/>
      <c r="AL47" s="436">
        <v>0.0</v>
      </c>
      <c r="AM47" s="74"/>
      <c r="AN47" s="74"/>
      <c r="AQ47" s="437">
        <f t="shared" si="1"/>
        <v>0</v>
      </c>
      <c r="AR47" s="438">
        <f t="shared" si="2"/>
        <v>0</v>
      </c>
      <c r="AS47" s="439">
        <f t="shared" si="3"/>
        <v>0</v>
      </c>
      <c r="AT47" s="438">
        <f t="shared" si="4"/>
        <v>0</v>
      </c>
      <c r="AU47" s="422"/>
      <c r="AV47" s="422"/>
      <c r="AW47" s="422"/>
      <c r="AX47" s="422"/>
      <c r="AY47" s="422"/>
      <c r="AZ47" s="422"/>
    </row>
    <row r="48" ht="15.75" customHeight="1">
      <c r="D48" s="453"/>
      <c r="E48" s="74"/>
      <c r="F48" s="74"/>
      <c r="G48" s="74"/>
      <c r="H48" s="74"/>
      <c r="I48" s="433"/>
      <c r="J48" s="434"/>
      <c r="K48" s="74"/>
      <c r="L48" s="74"/>
      <c r="M48" s="74"/>
      <c r="N48" s="74"/>
      <c r="O48" s="74"/>
      <c r="P48" s="74"/>
      <c r="Q48" s="74"/>
      <c r="R48" s="435"/>
      <c r="S48" s="74"/>
      <c r="T48" s="74"/>
      <c r="U48" s="436">
        <v>0.0</v>
      </c>
      <c r="V48" s="74"/>
      <c r="W48" s="74"/>
      <c r="Z48" s="433"/>
      <c r="AA48" s="434"/>
      <c r="AB48" s="74"/>
      <c r="AC48" s="74"/>
      <c r="AD48" s="74"/>
      <c r="AE48" s="74"/>
      <c r="AF48" s="74"/>
      <c r="AG48" s="74"/>
      <c r="AH48" s="74"/>
      <c r="AI48" s="435"/>
      <c r="AJ48" s="74"/>
      <c r="AK48" s="74"/>
      <c r="AL48" s="436">
        <v>0.0</v>
      </c>
      <c r="AM48" s="74"/>
      <c r="AN48" s="74"/>
      <c r="AQ48" s="437">
        <f t="shared" si="1"/>
        <v>0</v>
      </c>
      <c r="AR48" s="438">
        <f t="shared" si="2"/>
        <v>0</v>
      </c>
      <c r="AS48" s="439">
        <f t="shared" si="3"/>
        <v>0</v>
      </c>
      <c r="AT48" s="438">
        <f t="shared" si="4"/>
        <v>0</v>
      </c>
      <c r="AU48" s="422"/>
      <c r="AV48" s="422"/>
      <c r="AW48" s="422"/>
      <c r="AX48" s="422"/>
      <c r="AY48" s="422"/>
      <c r="AZ48" s="422"/>
    </row>
    <row r="49" ht="15.75" customHeight="1">
      <c r="D49" s="453"/>
      <c r="E49" s="74"/>
      <c r="F49" s="74"/>
      <c r="G49" s="74"/>
      <c r="H49" s="74"/>
      <c r="I49" s="433"/>
      <c r="J49" s="434"/>
      <c r="K49" s="74"/>
      <c r="L49" s="74"/>
      <c r="M49" s="74"/>
      <c r="N49" s="74"/>
      <c r="O49" s="74"/>
      <c r="P49" s="74"/>
      <c r="Q49" s="74"/>
      <c r="R49" s="435"/>
      <c r="S49" s="74"/>
      <c r="T49" s="74"/>
      <c r="U49" s="436">
        <v>0.0</v>
      </c>
      <c r="V49" s="74"/>
      <c r="W49" s="74"/>
      <c r="Z49" s="433"/>
      <c r="AA49" s="434"/>
      <c r="AB49" s="74"/>
      <c r="AC49" s="74"/>
      <c r="AD49" s="74"/>
      <c r="AE49" s="74"/>
      <c r="AF49" s="74"/>
      <c r="AG49" s="74"/>
      <c r="AH49" s="74"/>
      <c r="AI49" s="435"/>
      <c r="AJ49" s="74"/>
      <c r="AK49" s="74"/>
      <c r="AL49" s="436">
        <v>0.0</v>
      </c>
      <c r="AM49" s="74"/>
      <c r="AN49" s="74"/>
      <c r="AQ49" s="437">
        <f t="shared" si="1"/>
        <v>0</v>
      </c>
      <c r="AR49" s="438">
        <f t="shared" si="2"/>
        <v>0</v>
      </c>
      <c r="AS49" s="439">
        <f t="shared" si="3"/>
        <v>0</v>
      </c>
      <c r="AT49" s="438">
        <f t="shared" si="4"/>
        <v>0</v>
      </c>
      <c r="AU49" s="422"/>
      <c r="AV49" s="422"/>
      <c r="AW49" s="422"/>
      <c r="AX49" s="422"/>
      <c r="AY49" s="422"/>
      <c r="AZ49" s="422"/>
    </row>
    <row r="50" ht="15.75" customHeight="1">
      <c r="D50" s="453"/>
      <c r="E50" s="74"/>
      <c r="F50" s="74"/>
      <c r="G50" s="74"/>
      <c r="H50" s="74"/>
      <c r="I50" s="433"/>
      <c r="J50" s="434"/>
      <c r="K50" s="74"/>
      <c r="L50" s="74"/>
      <c r="M50" s="74"/>
      <c r="N50" s="74"/>
      <c r="O50" s="74"/>
      <c r="P50" s="74"/>
      <c r="Q50" s="74"/>
      <c r="R50" s="440"/>
      <c r="S50" s="74"/>
      <c r="T50" s="74"/>
      <c r="U50" s="436">
        <v>0.0</v>
      </c>
      <c r="V50" s="74"/>
      <c r="W50" s="74"/>
      <c r="Z50" s="433"/>
      <c r="AA50" s="434"/>
      <c r="AB50" s="74"/>
      <c r="AC50" s="74"/>
      <c r="AD50" s="74"/>
      <c r="AE50" s="74"/>
      <c r="AF50" s="74"/>
      <c r="AG50" s="74"/>
      <c r="AH50" s="74"/>
      <c r="AI50" s="440"/>
      <c r="AJ50" s="74"/>
      <c r="AK50" s="74"/>
      <c r="AL50" s="436">
        <v>0.0</v>
      </c>
      <c r="AM50" s="74"/>
      <c r="AN50" s="74"/>
      <c r="AQ50" s="437">
        <f t="shared" si="1"/>
        <v>0</v>
      </c>
      <c r="AR50" s="438">
        <f t="shared" si="2"/>
        <v>0</v>
      </c>
      <c r="AS50" s="439">
        <f t="shared" si="3"/>
        <v>0</v>
      </c>
      <c r="AT50" s="438">
        <f t="shared" si="4"/>
        <v>0</v>
      </c>
      <c r="AU50" s="422"/>
      <c r="AV50" s="422"/>
      <c r="AW50" s="422"/>
      <c r="AX50" s="422"/>
      <c r="AY50" s="422"/>
      <c r="AZ50" s="422"/>
    </row>
    <row r="51" ht="15.75" customHeight="1">
      <c r="D51" s="453"/>
      <c r="E51" s="74"/>
      <c r="F51" s="74"/>
      <c r="G51" s="74"/>
      <c r="H51" s="74"/>
      <c r="I51" s="433"/>
      <c r="J51" s="434"/>
      <c r="K51" s="74"/>
      <c r="L51" s="74"/>
      <c r="M51" s="74"/>
      <c r="N51" s="74"/>
      <c r="O51" s="74"/>
      <c r="P51" s="74"/>
      <c r="Q51" s="74"/>
      <c r="R51" s="435"/>
      <c r="S51" s="74"/>
      <c r="T51" s="74"/>
      <c r="U51" s="436">
        <v>0.0</v>
      </c>
      <c r="V51" s="74"/>
      <c r="W51" s="74"/>
      <c r="Z51" s="433"/>
      <c r="AA51" s="434"/>
      <c r="AB51" s="74"/>
      <c r="AC51" s="74"/>
      <c r="AD51" s="74"/>
      <c r="AE51" s="74"/>
      <c r="AF51" s="74"/>
      <c r="AG51" s="74"/>
      <c r="AH51" s="74"/>
      <c r="AI51" s="435"/>
      <c r="AJ51" s="74"/>
      <c r="AK51" s="74"/>
      <c r="AL51" s="436">
        <v>0.0</v>
      </c>
      <c r="AM51" s="74"/>
      <c r="AN51" s="74"/>
      <c r="AQ51" s="437">
        <f t="shared" si="1"/>
        <v>0</v>
      </c>
      <c r="AR51" s="438">
        <f t="shared" si="2"/>
        <v>0</v>
      </c>
      <c r="AS51" s="439">
        <f t="shared" si="3"/>
        <v>0</v>
      </c>
      <c r="AT51" s="438">
        <f t="shared" si="4"/>
        <v>0</v>
      </c>
      <c r="AU51" s="422"/>
      <c r="AV51" s="422"/>
      <c r="AW51" s="422"/>
      <c r="AX51" s="422"/>
      <c r="AY51" s="422"/>
      <c r="AZ51" s="422"/>
    </row>
    <row r="52" ht="15.75" customHeight="1">
      <c r="D52" s="453"/>
      <c r="E52" s="74"/>
      <c r="F52" s="74"/>
      <c r="G52" s="74"/>
      <c r="H52" s="74"/>
      <c r="I52" s="433"/>
      <c r="J52" s="434"/>
      <c r="K52" s="74"/>
      <c r="L52" s="74"/>
      <c r="M52" s="74"/>
      <c r="N52" s="74"/>
      <c r="O52" s="74"/>
      <c r="P52" s="74"/>
      <c r="Q52" s="74"/>
      <c r="R52" s="435"/>
      <c r="S52" s="74"/>
      <c r="T52" s="74"/>
      <c r="U52" s="436">
        <v>0.0</v>
      </c>
      <c r="V52" s="74"/>
      <c r="W52" s="74"/>
      <c r="Z52" s="433"/>
      <c r="AA52" s="434"/>
      <c r="AB52" s="74"/>
      <c r="AC52" s="74"/>
      <c r="AD52" s="74"/>
      <c r="AE52" s="74"/>
      <c r="AF52" s="74"/>
      <c r="AG52" s="74"/>
      <c r="AH52" s="74"/>
      <c r="AI52" s="435"/>
      <c r="AJ52" s="74"/>
      <c r="AK52" s="74"/>
      <c r="AL52" s="436">
        <v>0.0</v>
      </c>
      <c r="AM52" s="74"/>
      <c r="AN52" s="74"/>
      <c r="AQ52" s="437">
        <f t="shared" si="1"/>
        <v>0</v>
      </c>
      <c r="AR52" s="438">
        <f t="shared" si="2"/>
        <v>0</v>
      </c>
      <c r="AS52" s="439">
        <f t="shared" si="3"/>
        <v>0</v>
      </c>
      <c r="AT52" s="438">
        <f t="shared" si="4"/>
        <v>0</v>
      </c>
      <c r="AU52" s="422"/>
      <c r="AV52" s="422"/>
      <c r="AW52" s="422"/>
      <c r="AX52" s="422"/>
      <c r="AY52" s="422"/>
      <c r="AZ52" s="422"/>
    </row>
    <row r="53" ht="15.75" customHeight="1">
      <c r="D53" s="453"/>
      <c r="E53" s="74"/>
      <c r="F53" s="74"/>
      <c r="G53" s="74"/>
      <c r="H53" s="74"/>
      <c r="I53" s="433"/>
      <c r="J53" s="434"/>
      <c r="K53" s="74"/>
      <c r="L53" s="74"/>
      <c r="M53" s="74"/>
      <c r="N53" s="74"/>
      <c r="O53" s="74"/>
      <c r="P53" s="74"/>
      <c r="Q53" s="74"/>
      <c r="R53" s="435"/>
      <c r="S53" s="74"/>
      <c r="T53" s="74"/>
      <c r="U53" s="436">
        <v>0.0</v>
      </c>
      <c r="V53" s="74"/>
      <c r="W53" s="74"/>
      <c r="Z53" s="433"/>
      <c r="AA53" s="434"/>
      <c r="AB53" s="74"/>
      <c r="AC53" s="74"/>
      <c r="AD53" s="74"/>
      <c r="AE53" s="74"/>
      <c r="AF53" s="74"/>
      <c r="AG53" s="74"/>
      <c r="AH53" s="74"/>
      <c r="AI53" s="435"/>
      <c r="AJ53" s="74"/>
      <c r="AK53" s="74"/>
      <c r="AL53" s="436">
        <v>0.0</v>
      </c>
      <c r="AM53" s="74"/>
      <c r="AN53" s="74"/>
      <c r="AQ53" s="437">
        <f t="shared" si="1"/>
        <v>0</v>
      </c>
      <c r="AR53" s="438">
        <f t="shared" si="2"/>
        <v>0</v>
      </c>
      <c r="AS53" s="439">
        <f t="shared" si="3"/>
        <v>0</v>
      </c>
      <c r="AT53" s="438">
        <f t="shared" si="4"/>
        <v>0</v>
      </c>
      <c r="AU53" s="422"/>
      <c r="AV53" s="422"/>
      <c r="AW53" s="422"/>
      <c r="AX53" s="422"/>
      <c r="AY53" s="422"/>
      <c r="AZ53" s="422"/>
    </row>
    <row r="54" ht="15.75" customHeight="1">
      <c r="D54" s="453"/>
      <c r="E54" s="74"/>
      <c r="F54" s="74"/>
      <c r="G54" s="74"/>
      <c r="H54" s="74"/>
      <c r="I54" s="433"/>
      <c r="J54" s="434"/>
      <c r="K54" s="74"/>
      <c r="L54" s="74"/>
      <c r="M54" s="74"/>
      <c r="N54" s="74"/>
      <c r="O54" s="74"/>
      <c r="P54" s="74"/>
      <c r="Q54" s="74"/>
      <c r="R54" s="435"/>
      <c r="S54" s="74"/>
      <c r="T54" s="74"/>
      <c r="U54" s="436">
        <v>0.0</v>
      </c>
      <c r="V54" s="74"/>
      <c r="W54" s="74"/>
      <c r="Z54" s="433"/>
      <c r="AA54" s="434"/>
      <c r="AB54" s="74"/>
      <c r="AC54" s="74"/>
      <c r="AD54" s="74"/>
      <c r="AE54" s="74"/>
      <c r="AF54" s="74"/>
      <c r="AG54" s="74"/>
      <c r="AH54" s="74"/>
      <c r="AI54" s="435"/>
      <c r="AJ54" s="74"/>
      <c r="AK54" s="74"/>
      <c r="AL54" s="436">
        <v>0.0</v>
      </c>
      <c r="AM54" s="74"/>
      <c r="AN54" s="74"/>
      <c r="AQ54" s="437">
        <f t="shared" si="1"/>
        <v>0</v>
      </c>
      <c r="AR54" s="438">
        <f t="shared" si="2"/>
        <v>0</v>
      </c>
      <c r="AS54" s="439">
        <f t="shared" si="3"/>
        <v>0</v>
      </c>
      <c r="AT54" s="438">
        <f t="shared" si="4"/>
        <v>0</v>
      </c>
      <c r="AU54" s="422"/>
      <c r="AV54" s="422"/>
      <c r="AW54" s="422"/>
      <c r="AX54" s="422"/>
      <c r="AY54" s="422"/>
      <c r="AZ54" s="422"/>
    </row>
    <row r="55" ht="15.75" customHeight="1">
      <c r="D55" s="453"/>
      <c r="E55" s="74"/>
      <c r="F55" s="74"/>
      <c r="G55" s="74"/>
      <c r="H55" s="74"/>
      <c r="I55" s="433"/>
      <c r="J55" s="434"/>
      <c r="K55" s="74"/>
      <c r="L55" s="74"/>
      <c r="M55" s="74"/>
      <c r="N55" s="74"/>
      <c r="O55" s="74"/>
      <c r="P55" s="74"/>
      <c r="Q55" s="74"/>
      <c r="R55" s="440"/>
      <c r="S55" s="74"/>
      <c r="T55" s="74"/>
      <c r="U55" s="436">
        <v>0.0</v>
      </c>
      <c r="V55" s="74"/>
      <c r="W55" s="74"/>
      <c r="Z55" s="433"/>
      <c r="AA55" s="434"/>
      <c r="AB55" s="74"/>
      <c r="AC55" s="74"/>
      <c r="AD55" s="74"/>
      <c r="AE55" s="74"/>
      <c r="AF55" s="74"/>
      <c r="AG55" s="74"/>
      <c r="AH55" s="74"/>
      <c r="AI55" s="440"/>
      <c r="AJ55" s="74"/>
      <c r="AK55" s="74"/>
      <c r="AL55" s="436">
        <v>0.0</v>
      </c>
      <c r="AM55" s="74"/>
      <c r="AN55" s="74"/>
      <c r="AQ55" s="437">
        <f t="shared" si="1"/>
        <v>0</v>
      </c>
      <c r="AR55" s="438">
        <f t="shared" si="2"/>
        <v>0</v>
      </c>
      <c r="AS55" s="439">
        <f t="shared" si="3"/>
        <v>0</v>
      </c>
      <c r="AT55" s="438">
        <f t="shared" si="4"/>
        <v>0</v>
      </c>
      <c r="AU55" s="422"/>
      <c r="AV55" s="422"/>
      <c r="AW55" s="422"/>
      <c r="AX55" s="422"/>
      <c r="AY55" s="422"/>
      <c r="AZ55" s="422"/>
    </row>
    <row r="56" ht="15.75" customHeight="1">
      <c r="D56" s="453"/>
      <c r="E56" s="74"/>
      <c r="F56" s="74"/>
      <c r="G56" s="74"/>
      <c r="H56" s="74"/>
      <c r="I56" s="433"/>
      <c r="J56" s="434"/>
      <c r="K56" s="74"/>
      <c r="L56" s="74"/>
      <c r="M56" s="74"/>
      <c r="N56" s="74"/>
      <c r="O56" s="74"/>
      <c r="P56" s="74"/>
      <c r="Q56" s="74"/>
      <c r="R56" s="435"/>
      <c r="S56" s="74"/>
      <c r="T56" s="74"/>
      <c r="U56" s="436">
        <v>0.0</v>
      </c>
      <c r="V56" s="74"/>
      <c r="W56" s="74"/>
      <c r="Z56" s="433"/>
      <c r="AA56" s="434"/>
      <c r="AB56" s="74"/>
      <c r="AC56" s="74"/>
      <c r="AD56" s="74"/>
      <c r="AE56" s="74"/>
      <c r="AF56" s="74"/>
      <c r="AG56" s="74"/>
      <c r="AH56" s="74"/>
      <c r="AI56" s="435"/>
      <c r="AJ56" s="74"/>
      <c r="AK56" s="74"/>
      <c r="AL56" s="436">
        <v>0.0</v>
      </c>
      <c r="AM56" s="74"/>
      <c r="AN56" s="74"/>
      <c r="AQ56" s="437">
        <f t="shared" si="1"/>
        <v>0</v>
      </c>
      <c r="AR56" s="438">
        <f t="shared" si="2"/>
        <v>0</v>
      </c>
      <c r="AS56" s="439">
        <f t="shared" si="3"/>
        <v>0</v>
      </c>
      <c r="AT56" s="438">
        <f t="shared" si="4"/>
        <v>0</v>
      </c>
      <c r="AU56" s="422"/>
      <c r="AV56" s="422"/>
      <c r="AW56" s="422"/>
      <c r="AX56" s="422"/>
      <c r="AY56" s="422"/>
      <c r="AZ56" s="422"/>
    </row>
    <row r="57" ht="15.75" customHeight="1">
      <c r="D57" s="453"/>
      <c r="E57" s="74"/>
      <c r="F57" s="74"/>
      <c r="G57" s="74"/>
      <c r="H57" s="74"/>
      <c r="I57" s="433"/>
      <c r="J57" s="434"/>
      <c r="K57" s="74"/>
      <c r="L57" s="74"/>
      <c r="M57" s="74"/>
      <c r="N57" s="74"/>
      <c r="O57" s="74"/>
      <c r="P57" s="74"/>
      <c r="Q57" s="74"/>
      <c r="R57" s="435"/>
      <c r="S57" s="74"/>
      <c r="T57" s="74"/>
      <c r="U57" s="436">
        <v>0.0</v>
      </c>
      <c r="V57" s="74"/>
      <c r="W57" s="74"/>
      <c r="Z57" s="433"/>
      <c r="AA57" s="434"/>
      <c r="AB57" s="74"/>
      <c r="AC57" s="74"/>
      <c r="AD57" s="74"/>
      <c r="AE57" s="74"/>
      <c r="AF57" s="74"/>
      <c r="AG57" s="74"/>
      <c r="AH57" s="74"/>
      <c r="AI57" s="435"/>
      <c r="AJ57" s="74"/>
      <c r="AK57" s="74"/>
      <c r="AL57" s="436">
        <v>0.0</v>
      </c>
      <c r="AM57" s="74"/>
      <c r="AN57" s="74"/>
      <c r="AQ57" s="437">
        <f t="shared" si="1"/>
        <v>0</v>
      </c>
      <c r="AR57" s="438">
        <f t="shared" si="2"/>
        <v>0</v>
      </c>
      <c r="AS57" s="439">
        <f t="shared" si="3"/>
        <v>0</v>
      </c>
      <c r="AT57" s="438">
        <f t="shared" si="4"/>
        <v>0</v>
      </c>
      <c r="AU57" s="422"/>
      <c r="AV57" s="422"/>
      <c r="AW57" s="422"/>
      <c r="AX57" s="422"/>
      <c r="AY57" s="422"/>
      <c r="AZ57" s="422"/>
    </row>
    <row r="58" ht="15.75" customHeight="1">
      <c r="D58" s="453"/>
      <c r="E58" s="74"/>
      <c r="F58" s="74"/>
      <c r="G58" s="74"/>
      <c r="H58" s="74"/>
      <c r="I58" s="433"/>
      <c r="J58" s="434"/>
      <c r="K58" s="74"/>
      <c r="L58" s="74"/>
      <c r="M58" s="74"/>
      <c r="N58" s="74"/>
      <c r="O58" s="74"/>
      <c r="P58" s="74"/>
      <c r="Q58" s="74"/>
      <c r="R58" s="440"/>
      <c r="S58" s="74"/>
      <c r="T58" s="74"/>
      <c r="U58" s="436">
        <v>0.0</v>
      </c>
      <c r="V58" s="74"/>
      <c r="W58" s="74"/>
      <c r="Z58" s="433"/>
      <c r="AA58" s="434"/>
      <c r="AB58" s="74"/>
      <c r="AC58" s="74"/>
      <c r="AD58" s="74"/>
      <c r="AE58" s="74"/>
      <c r="AF58" s="74"/>
      <c r="AG58" s="74"/>
      <c r="AH58" s="74"/>
      <c r="AI58" s="440"/>
      <c r="AJ58" s="74"/>
      <c r="AK58" s="74"/>
      <c r="AL58" s="436">
        <v>0.0</v>
      </c>
      <c r="AM58" s="74"/>
      <c r="AN58" s="74"/>
      <c r="AQ58" s="437">
        <f t="shared" si="1"/>
        <v>0</v>
      </c>
      <c r="AR58" s="438">
        <f t="shared" si="2"/>
        <v>0</v>
      </c>
      <c r="AS58" s="439">
        <f t="shared" si="3"/>
        <v>0</v>
      </c>
      <c r="AT58" s="438">
        <f t="shared" si="4"/>
        <v>0</v>
      </c>
      <c r="AU58" s="422"/>
      <c r="AV58" s="422"/>
      <c r="AW58" s="422"/>
      <c r="AX58" s="422"/>
      <c r="AY58" s="422"/>
      <c r="AZ58" s="422"/>
    </row>
    <row r="59" ht="15.75" customHeight="1">
      <c r="D59" s="453"/>
      <c r="E59" s="74"/>
      <c r="F59" s="74"/>
      <c r="G59" s="74"/>
      <c r="H59" s="74"/>
      <c r="I59" s="433"/>
      <c r="J59" s="434"/>
      <c r="K59" s="74"/>
      <c r="L59" s="74"/>
      <c r="M59" s="74"/>
      <c r="N59" s="74"/>
      <c r="O59" s="74"/>
      <c r="P59" s="74"/>
      <c r="Q59" s="74"/>
      <c r="R59" s="435"/>
      <c r="S59" s="74"/>
      <c r="T59" s="74"/>
      <c r="U59" s="436">
        <v>0.0</v>
      </c>
      <c r="V59" s="74"/>
      <c r="W59" s="74"/>
      <c r="Z59" s="433"/>
      <c r="AA59" s="434"/>
      <c r="AB59" s="74"/>
      <c r="AC59" s="74"/>
      <c r="AD59" s="74"/>
      <c r="AE59" s="74"/>
      <c r="AF59" s="74"/>
      <c r="AG59" s="74"/>
      <c r="AH59" s="74"/>
      <c r="AI59" s="435"/>
      <c r="AJ59" s="74"/>
      <c r="AK59" s="74"/>
      <c r="AL59" s="436">
        <v>0.0</v>
      </c>
      <c r="AM59" s="74"/>
      <c r="AN59" s="74"/>
      <c r="AQ59" s="437">
        <f t="shared" si="1"/>
        <v>0</v>
      </c>
      <c r="AR59" s="438">
        <f t="shared" si="2"/>
        <v>0</v>
      </c>
      <c r="AS59" s="439">
        <f t="shared" si="3"/>
        <v>0</v>
      </c>
      <c r="AT59" s="438">
        <f t="shared" si="4"/>
        <v>0</v>
      </c>
      <c r="AU59" s="422"/>
      <c r="AV59" s="422"/>
      <c r="AW59" s="422"/>
      <c r="AX59" s="422"/>
      <c r="AY59" s="422"/>
      <c r="AZ59" s="422"/>
    </row>
    <row r="60" ht="15.75" customHeight="1">
      <c r="D60" s="453"/>
      <c r="E60" s="74"/>
      <c r="F60" s="74"/>
      <c r="G60" s="74"/>
      <c r="H60" s="74"/>
      <c r="I60" s="433"/>
      <c r="J60" s="434"/>
      <c r="K60" s="74"/>
      <c r="L60" s="74"/>
      <c r="M60" s="74"/>
      <c r="N60" s="74"/>
      <c r="O60" s="74"/>
      <c r="P60" s="74"/>
      <c r="Q60" s="74"/>
      <c r="R60" s="435"/>
      <c r="S60" s="74"/>
      <c r="T60" s="74"/>
      <c r="U60" s="436">
        <v>0.0</v>
      </c>
      <c r="V60" s="74"/>
      <c r="W60" s="74"/>
      <c r="Z60" s="433"/>
      <c r="AA60" s="434"/>
      <c r="AB60" s="74"/>
      <c r="AC60" s="74"/>
      <c r="AD60" s="74"/>
      <c r="AE60" s="74"/>
      <c r="AF60" s="74"/>
      <c r="AG60" s="74"/>
      <c r="AH60" s="74"/>
      <c r="AI60" s="435"/>
      <c r="AJ60" s="74"/>
      <c r="AK60" s="74"/>
      <c r="AL60" s="436">
        <v>0.0</v>
      </c>
      <c r="AM60" s="74"/>
      <c r="AN60" s="74"/>
      <c r="AQ60" s="437">
        <f t="shared" si="1"/>
        <v>0</v>
      </c>
      <c r="AR60" s="438">
        <f t="shared" si="2"/>
        <v>0</v>
      </c>
      <c r="AS60" s="439">
        <f t="shared" si="3"/>
        <v>0</v>
      </c>
      <c r="AT60" s="438">
        <f t="shared" si="4"/>
        <v>0</v>
      </c>
      <c r="AU60" s="422"/>
      <c r="AV60" s="422"/>
      <c r="AW60" s="422"/>
      <c r="AX60" s="422"/>
      <c r="AY60" s="422"/>
      <c r="AZ60" s="422"/>
    </row>
    <row r="61" ht="15.75" customHeight="1">
      <c r="D61" s="453"/>
      <c r="E61" s="74"/>
      <c r="F61" s="74"/>
      <c r="G61" s="74"/>
      <c r="H61" s="74"/>
      <c r="I61" s="433"/>
      <c r="J61" s="434"/>
      <c r="K61" s="74"/>
      <c r="L61" s="74"/>
      <c r="M61" s="74"/>
      <c r="N61" s="74"/>
      <c r="O61" s="74"/>
      <c r="P61" s="74"/>
      <c r="Q61" s="74"/>
      <c r="R61" s="435"/>
      <c r="S61" s="74"/>
      <c r="T61" s="74"/>
      <c r="U61" s="436">
        <v>0.0</v>
      </c>
      <c r="V61" s="74"/>
      <c r="W61" s="74"/>
      <c r="Z61" s="433"/>
      <c r="AA61" s="434"/>
      <c r="AB61" s="74"/>
      <c r="AC61" s="74"/>
      <c r="AD61" s="74"/>
      <c r="AE61" s="74"/>
      <c r="AF61" s="74"/>
      <c r="AG61" s="74"/>
      <c r="AH61" s="74"/>
      <c r="AI61" s="435"/>
      <c r="AJ61" s="74"/>
      <c r="AK61" s="74"/>
      <c r="AL61" s="436">
        <v>0.0</v>
      </c>
      <c r="AM61" s="74"/>
      <c r="AN61" s="74"/>
      <c r="AQ61" s="437">
        <f t="shared" si="1"/>
        <v>0</v>
      </c>
      <c r="AR61" s="438">
        <f t="shared" si="2"/>
        <v>0</v>
      </c>
      <c r="AS61" s="439">
        <f t="shared" si="3"/>
        <v>0</v>
      </c>
      <c r="AT61" s="438">
        <f t="shared" si="4"/>
        <v>0</v>
      </c>
      <c r="AU61" s="422"/>
      <c r="AV61" s="422"/>
      <c r="AW61" s="422"/>
      <c r="AX61" s="422"/>
      <c r="AY61" s="422"/>
      <c r="AZ61" s="422"/>
    </row>
    <row r="62" ht="15.75" customHeight="1">
      <c r="D62" s="453"/>
      <c r="E62" s="74"/>
      <c r="F62" s="74"/>
      <c r="G62" s="74"/>
      <c r="H62" s="74"/>
      <c r="I62" s="433"/>
      <c r="J62" s="434"/>
      <c r="K62" s="74"/>
      <c r="L62" s="74"/>
      <c r="M62" s="74"/>
      <c r="N62" s="74"/>
      <c r="O62" s="74"/>
      <c r="P62" s="74"/>
      <c r="Q62" s="74"/>
      <c r="R62" s="440"/>
      <c r="S62" s="74"/>
      <c r="T62" s="74"/>
      <c r="U62" s="436">
        <v>0.0</v>
      </c>
      <c r="V62" s="74"/>
      <c r="W62" s="74"/>
      <c r="Z62" s="433"/>
      <c r="AA62" s="434"/>
      <c r="AB62" s="74"/>
      <c r="AC62" s="74"/>
      <c r="AD62" s="74"/>
      <c r="AE62" s="74"/>
      <c r="AF62" s="74"/>
      <c r="AG62" s="74"/>
      <c r="AH62" s="74"/>
      <c r="AI62" s="440"/>
      <c r="AJ62" s="74"/>
      <c r="AK62" s="74"/>
      <c r="AL62" s="436">
        <v>0.0</v>
      </c>
      <c r="AM62" s="74"/>
      <c r="AN62" s="74"/>
      <c r="AQ62" s="437">
        <f t="shared" si="1"/>
        <v>0</v>
      </c>
      <c r="AR62" s="438">
        <f t="shared" si="2"/>
        <v>0</v>
      </c>
      <c r="AS62" s="439">
        <f t="shared" si="3"/>
        <v>0</v>
      </c>
      <c r="AT62" s="438">
        <f t="shared" si="4"/>
        <v>0</v>
      </c>
      <c r="AU62" s="422"/>
      <c r="AV62" s="422"/>
      <c r="AW62" s="422"/>
      <c r="AX62" s="422"/>
      <c r="AY62" s="422"/>
      <c r="AZ62" s="422"/>
    </row>
    <row r="63" ht="15.75" customHeight="1">
      <c r="D63" s="453"/>
      <c r="E63" s="74"/>
      <c r="F63" s="74"/>
      <c r="G63" s="74"/>
      <c r="H63" s="74"/>
      <c r="I63" s="433"/>
      <c r="J63" s="434"/>
      <c r="K63" s="74"/>
      <c r="L63" s="74"/>
      <c r="M63" s="74"/>
      <c r="N63" s="74"/>
      <c r="O63" s="74"/>
      <c r="P63" s="74"/>
      <c r="Q63" s="74"/>
      <c r="R63" s="435"/>
      <c r="S63" s="74"/>
      <c r="T63" s="74"/>
      <c r="U63" s="436">
        <v>0.0</v>
      </c>
      <c r="V63" s="74"/>
      <c r="W63" s="74"/>
      <c r="Z63" s="433"/>
      <c r="AA63" s="434"/>
      <c r="AB63" s="74"/>
      <c r="AC63" s="74"/>
      <c r="AD63" s="74"/>
      <c r="AE63" s="74"/>
      <c r="AF63" s="74"/>
      <c r="AG63" s="74"/>
      <c r="AH63" s="74"/>
      <c r="AI63" s="435"/>
      <c r="AJ63" s="74"/>
      <c r="AK63" s="74"/>
      <c r="AL63" s="436">
        <v>0.0</v>
      </c>
      <c r="AM63" s="74"/>
      <c r="AN63" s="74"/>
      <c r="AQ63" s="437">
        <f t="shared" si="1"/>
        <v>0</v>
      </c>
      <c r="AR63" s="438">
        <f t="shared" si="2"/>
        <v>0</v>
      </c>
      <c r="AS63" s="439">
        <f t="shared" si="3"/>
        <v>0</v>
      </c>
      <c r="AT63" s="438">
        <f t="shared" si="4"/>
        <v>0</v>
      </c>
      <c r="AU63" s="422"/>
      <c r="AV63" s="422"/>
      <c r="AW63" s="422"/>
      <c r="AX63" s="422"/>
      <c r="AY63" s="422"/>
      <c r="AZ63" s="422"/>
    </row>
    <row r="64" ht="15.75" customHeight="1">
      <c r="D64" s="453"/>
      <c r="E64" s="74"/>
      <c r="F64" s="74"/>
      <c r="G64" s="74"/>
      <c r="H64" s="74"/>
      <c r="I64" s="433"/>
      <c r="J64" s="434"/>
      <c r="K64" s="74"/>
      <c r="L64" s="74"/>
      <c r="M64" s="74"/>
      <c r="N64" s="74"/>
      <c r="O64" s="74"/>
      <c r="P64" s="74"/>
      <c r="Q64" s="74"/>
      <c r="R64" s="435"/>
      <c r="S64" s="74"/>
      <c r="T64" s="74"/>
      <c r="U64" s="436">
        <v>0.0</v>
      </c>
      <c r="V64" s="74"/>
      <c r="W64" s="74"/>
      <c r="Z64" s="433"/>
      <c r="AA64" s="434"/>
      <c r="AB64" s="74"/>
      <c r="AC64" s="74"/>
      <c r="AD64" s="74"/>
      <c r="AE64" s="74"/>
      <c r="AF64" s="74"/>
      <c r="AG64" s="74"/>
      <c r="AH64" s="74"/>
      <c r="AI64" s="435"/>
      <c r="AJ64" s="74"/>
      <c r="AK64" s="74"/>
      <c r="AL64" s="436">
        <v>0.0</v>
      </c>
      <c r="AM64" s="74"/>
      <c r="AN64" s="74"/>
      <c r="AQ64" s="437">
        <f t="shared" si="1"/>
        <v>0</v>
      </c>
      <c r="AR64" s="438">
        <f t="shared" si="2"/>
        <v>0</v>
      </c>
      <c r="AS64" s="439">
        <f t="shared" si="3"/>
        <v>0</v>
      </c>
      <c r="AT64" s="438">
        <f t="shared" si="4"/>
        <v>0</v>
      </c>
      <c r="AU64" s="422"/>
      <c r="AV64" s="422"/>
      <c r="AW64" s="422"/>
      <c r="AX64" s="422"/>
      <c r="AY64" s="422"/>
      <c r="AZ64" s="422"/>
    </row>
    <row r="65" ht="15.75" customHeight="1">
      <c r="D65" s="453"/>
      <c r="E65" s="74"/>
      <c r="F65" s="74"/>
      <c r="G65" s="74"/>
      <c r="H65" s="74"/>
      <c r="I65" s="433"/>
      <c r="J65" s="434"/>
      <c r="K65" s="74"/>
      <c r="L65" s="74"/>
      <c r="M65" s="74"/>
      <c r="N65" s="74"/>
      <c r="O65" s="74"/>
      <c r="P65" s="74"/>
      <c r="Q65" s="74"/>
      <c r="R65" s="435"/>
      <c r="S65" s="74"/>
      <c r="T65" s="74"/>
      <c r="U65" s="436">
        <v>0.0</v>
      </c>
      <c r="V65" s="74"/>
      <c r="W65" s="74"/>
      <c r="Z65" s="433"/>
      <c r="AA65" s="434"/>
      <c r="AB65" s="74"/>
      <c r="AC65" s="74"/>
      <c r="AD65" s="74"/>
      <c r="AE65" s="74"/>
      <c r="AF65" s="74"/>
      <c r="AG65" s="74"/>
      <c r="AH65" s="74"/>
      <c r="AI65" s="435"/>
      <c r="AJ65" s="74"/>
      <c r="AK65" s="74"/>
      <c r="AL65" s="436">
        <v>0.0</v>
      </c>
      <c r="AM65" s="74"/>
      <c r="AN65" s="74"/>
      <c r="AQ65" s="437">
        <f t="shared" si="1"/>
        <v>0</v>
      </c>
      <c r="AR65" s="438">
        <f t="shared" si="2"/>
        <v>0</v>
      </c>
      <c r="AS65" s="439">
        <f t="shared" si="3"/>
        <v>0</v>
      </c>
      <c r="AT65" s="438">
        <f t="shared" si="4"/>
        <v>0</v>
      </c>
      <c r="AU65" s="422"/>
      <c r="AV65" s="422"/>
      <c r="AW65" s="422"/>
      <c r="AX65" s="422"/>
      <c r="AY65" s="422"/>
      <c r="AZ65" s="422"/>
    </row>
    <row r="66" ht="15.75" customHeight="1">
      <c r="D66" s="453"/>
      <c r="E66" s="74"/>
      <c r="F66" s="74"/>
      <c r="G66" s="74"/>
      <c r="H66" s="74"/>
      <c r="I66" s="433"/>
      <c r="J66" s="434"/>
      <c r="K66" s="74"/>
      <c r="L66" s="74"/>
      <c r="M66" s="74"/>
      <c r="N66" s="74"/>
      <c r="O66" s="74"/>
      <c r="P66" s="74"/>
      <c r="Q66" s="74"/>
      <c r="R66" s="435"/>
      <c r="S66" s="74"/>
      <c r="T66" s="74"/>
      <c r="U66" s="436">
        <v>0.0</v>
      </c>
      <c r="V66" s="74"/>
      <c r="W66" s="74"/>
      <c r="Z66" s="433"/>
      <c r="AA66" s="434"/>
      <c r="AB66" s="74"/>
      <c r="AC66" s="74"/>
      <c r="AD66" s="74"/>
      <c r="AE66" s="74"/>
      <c r="AF66" s="74"/>
      <c r="AG66" s="74"/>
      <c r="AH66" s="74"/>
      <c r="AI66" s="435"/>
      <c r="AJ66" s="74"/>
      <c r="AK66" s="74"/>
      <c r="AL66" s="436">
        <v>0.0</v>
      </c>
      <c r="AM66" s="74"/>
      <c r="AN66" s="74"/>
      <c r="AQ66" s="437">
        <f t="shared" si="1"/>
        <v>0</v>
      </c>
      <c r="AR66" s="438">
        <f t="shared" si="2"/>
        <v>0</v>
      </c>
      <c r="AS66" s="439">
        <f t="shared" si="3"/>
        <v>0</v>
      </c>
      <c r="AT66" s="438">
        <f t="shared" si="4"/>
        <v>0</v>
      </c>
      <c r="AU66" s="422"/>
      <c r="AV66" s="422"/>
      <c r="AW66" s="422"/>
      <c r="AX66" s="422"/>
      <c r="AY66" s="422"/>
      <c r="AZ66" s="422"/>
    </row>
    <row r="67" ht="15.75" customHeight="1">
      <c r="D67" s="453"/>
      <c r="E67" s="74"/>
      <c r="F67" s="74"/>
      <c r="G67" s="74"/>
      <c r="H67" s="74"/>
      <c r="I67" s="433"/>
      <c r="J67" s="434"/>
      <c r="K67" s="74"/>
      <c r="L67" s="74"/>
      <c r="M67" s="74"/>
      <c r="N67" s="74"/>
      <c r="O67" s="74"/>
      <c r="P67" s="74"/>
      <c r="Q67" s="74"/>
      <c r="R67" s="435"/>
      <c r="S67" s="74"/>
      <c r="T67" s="74"/>
      <c r="U67" s="436">
        <v>0.0</v>
      </c>
      <c r="V67" s="74"/>
      <c r="W67" s="74"/>
      <c r="Z67" s="433"/>
      <c r="AA67" s="434"/>
      <c r="AB67" s="74"/>
      <c r="AC67" s="74"/>
      <c r="AD67" s="74"/>
      <c r="AE67" s="74"/>
      <c r="AF67" s="74"/>
      <c r="AG67" s="74"/>
      <c r="AH67" s="74"/>
      <c r="AI67" s="435"/>
      <c r="AJ67" s="74"/>
      <c r="AK67" s="74"/>
      <c r="AL67" s="436">
        <v>0.0</v>
      </c>
      <c r="AM67" s="74"/>
      <c r="AN67" s="74"/>
      <c r="AQ67" s="437">
        <f t="shared" si="1"/>
        <v>0</v>
      </c>
      <c r="AR67" s="438">
        <f t="shared" si="2"/>
        <v>0</v>
      </c>
      <c r="AS67" s="439">
        <f t="shared" si="3"/>
        <v>0</v>
      </c>
      <c r="AT67" s="438">
        <f t="shared" si="4"/>
        <v>0</v>
      </c>
      <c r="AU67" s="422"/>
      <c r="AV67" s="422"/>
      <c r="AW67" s="422"/>
      <c r="AX67" s="422"/>
      <c r="AY67" s="422"/>
      <c r="AZ67" s="422"/>
    </row>
    <row r="68" ht="15.75" customHeight="1">
      <c r="D68" s="453"/>
      <c r="E68" s="74"/>
      <c r="F68" s="74"/>
      <c r="G68" s="74"/>
      <c r="H68" s="74"/>
      <c r="I68" s="433"/>
      <c r="J68" s="434"/>
      <c r="K68" s="74"/>
      <c r="L68" s="74"/>
      <c r="M68" s="74"/>
      <c r="N68" s="74"/>
      <c r="O68" s="74"/>
      <c r="P68" s="74"/>
      <c r="Q68" s="74"/>
      <c r="R68" s="440"/>
      <c r="S68" s="74"/>
      <c r="T68" s="74"/>
      <c r="U68" s="436">
        <v>0.0</v>
      </c>
      <c r="V68" s="74"/>
      <c r="W68" s="74"/>
      <c r="Z68" s="433"/>
      <c r="AA68" s="434"/>
      <c r="AB68" s="74"/>
      <c r="AC68" s="74"/>
      <c r="AD68" s="74"/>
      <c r="AE68" s="74"/>
      <c r="AF68" s="74"/>
      <c r="AG68" s="74"/>
      <c r="AH68" s="74"/>
      <c r="AI68" s="440"/>
      <c r="AJ68" s="74"/>
      <c r="AK68" s="74"/>
      <c r="AL68" s="436">
        <v>0.0</v>
      </c>
      <c r="AM68" s="74"/>
      <c r="AN68" s="74"/>
      <c r="AQ68" s="437">
        <f t="shared" si="1"/>
        <v>0</v>
      </c>
      <c r="AR68" s="438">
        <f t="shared" si="2"/>
        <v>0</v>
      </c>
      <c r="AS68" s="439">
        <f t="shared" si="3"/>
        <v>0</v>
      </c>
      <c r="AT68" s="438">
        <f t="shared" si="4"/>
        <v>0</v>
      </c>
      <c r="AU68" s="422"/>
      <c r="AV68" s="422"/>
      <c r="AW68" s="422"/>
      <c r="AX68" s="422"/>
      <c r="AY68" s="422"/>
      <c r="AZ68" s="422"/>
    </row>
    <row r="69" ht="15.75" customHeight="1">
      <c r="D69" s="453"/>
      <c r="E69" s="74"/>
      <c r="F69" s="74"/>
      <c r="G69" s="74"/>
      <c r="H69" s="74"/>
      <c r="I69" s="433"/>
      <c r="J69" s="434"/>
      <c r="K69" s="74"/>
      <c r="L69" s="74"/>
      <c r="M69" s="74"/>
      <c r="N69" s="74"/>
      <c r="O69" s="74"/>
      <c r="P69" s="74"/>
      <c r="Q69" s="74"/>
      <c r="R69" s="440"/>
      <c r="S69" s="74"/>
      <c r="T69" s="74"/>
      <c r="U69" s="436">
        <v>0.0</v>
      </c>
      <c r="V69" s="74"/>
      <c r="W69" s="74"/>
      <c r="Z69" s="433"/>
      <c r="AA69" s="434"/>
      <c r="AB69" s="74"/>
      <c r="AC69" s="74"/>
      <c r="AD69" s="74"/>
      <c r="AE69" s="74"/>
      <c r="AF69" s="74"/>
      <c r="AG69" s="74"/>
      <c r="AH69" s="74"/>
      <c r="AI69" s="440"/>
      <c r="AJ69" s="74"/>
      <c r="AK69" s="74"/>
      <c r="AL69" s="436">
        <v>0.0</v>
      </c>
      <c r="AM69" s="74"/>
      <c r="AN69" s="74"/>
      <c r="AQ69" s="437">
        <f t="shared" si="1"/>
        <v>0</v>
      </c>
      <c r="AR69" s="438">
        <f t="shared" si="2"/>
        <v>0</v>
      </c>
      <c r="AS69" s="439">
        <f t="shared" si="3"/>
        <v>0</v>
      </c>
      <c r="AT69" s="438">
        <f t="shared" si="4"/>
        <v>0</v>
      </c>
      <c r="AU69" s="422"/>
      <c r="AV69" s="422"/>
      <c r="AW69" s="422"/>
      <c r="AX69" s="422"/>
      <c r="AY69" s="422"/>
      <c r="AZ69" s="422"/>
    </row>
    <row r="70" ht="15.75" customHeight="1">
      <c r="D70" s="453"/>
      <c r="E70" s="74"/>
      <c r="F70" s="74"/>
      <c r="G70" s="74"/>
      <c r="H70" s="74"/>
      <c r="I70" s="433"/>
      <c r="J70" s="434"/>
      <c r="K70" s="74"/>
      <c r="L70" s="74"/>
      <c r="M70" s="74"/>
      <c r="N70" s="74"/>
      <c r="O70" s="74"/>
      <c r="P70" s="74"/>
      <c r="Q70" s="74"/>
      <c r="R70" s="435"/>
      <c r="S70" s="74"/>
      <c r="T70" s="74"/>
      <c r="U70" s="436">
        <v>0.0</v>
      </c>
      <c r="V70" s="74"/>
      <c r="W70" s="74"/>
      <c r="Z70" s="433"/>
      <c r="AA70" s="434"/>
      <c r="AB70" s="74"/>
      <c r="AC70" s="74"/>
      <c r="AD70" s="74"/>
      <c r="AE70" s="74"/>
      <c r="AF70" s="74"/>
      <c r="AG70" s="74"/>
      <c r="AH70" s="74"/>
      <c r="AI70" s="435"/>
      <c r="AJ70" s="74"/>
      <c r="AK70" s="74"/>
      <c r="AL70" s="436">
        <v>0.0</v>
      </c>
      <c r="AM70" s="74"/>
      <c r="AN70" s="74"/>
      <c r="AQ70" s="437">
        <f t="shared" si="1"/>
        <v>0</v>
      </c>
      <c r="AR70" s="438">
        <f t="shared" si="2"/>
        <v>0</v>
      </c>
      <c r="AS70" s="439">
        <f t="shared" si="3"/>
        <v>0</v>
      </c>
      <c r="AT70" s="438">
        <f t="shared" si="4"/>
        <v>0</v>
      </c>
      <c r="AU70" s="422"/>
      <c r="AV70" s="422"/>
      <c r="AW70" s="422"/>
      <c r="AX70" s="422"/>
      <c r="AY70" s="422"/>
      <c r="AZ70" s="422"/>
    </row>
    <row r="71" ht="15.75" customHeight="1">
      <c r="D71" s="453"/>
      <c r="E71" s="74"/>
      <c r="F71" s="74"/>
      <c r="G71" s="74"/>
      <c r="H71" s="74"/>
      <c r="I71" s="433"/>
      <c r="J71" s="434"/>
      <c r="K71" s="74"/>
      <c r="L71" s="74"/>
      <c r="M71" s="74"/>
      <c r="N71" s="74"/>
      <c r="O71" s="74"/>
      <c r="P71" s="74"/>
      <c r="Q71" s="74"/>
      <c r="R71" s="435"/>
      <c r="S71" s="74"/>
      <c r="T71" s="74"/>
      <c r="U71" s="436">
        <v>0.0</v>
      </c>
      <c r="V71" s="74"/>
      <c r="W71" s="74"/>
      <c r="Z71" s="433"/>
      <c r="AA71" s="434"/>
      <c r="AB71" s="74"/>
      <c r="AC71" s="74"/>
      <c r="AD71" s="74"/>
      <c r="AE71" s="74"/>
      <c r="AF71" s="74"/>
      <c r="AG71" s="74"/>
      <c r="AH71" s="74"/>
      <c r="AI71" s="435"/>
      <c r="AJ71" s="74"/>
      <c r="AK71" s="74"/>
      <c r="AL71" s="436">
        <v>0.0</v>
      </c>
      <c r="AM71" s="74"/>
      <c r="AN71" s="74"/>
      <c r="AQ71" s="437">
        <f t="shared" si="1"/>
        <v>0</v>
      </c>
      <c r="AR71" s="438">
        <f t="shared" si="2"/>
        <v>0</v>
      </c>
      <c r="AS71" s="439">
        <f t="shared" si="3"/>
        <v>0</v>
      </c>
      <c r="AT71" s="438">
        <f t="shared" si="4"/>
        <v>0</v>
      </c>
      <c r="AU71" s="422"/>
      <c r="AV71" s="422"/>
      <c r="AW71" s="422"/>
      <c r="AX71" s="422"/>
      <c r="AY71" s="422"/>
      <c r="AZ71" s="422"/>
    </row>
    <row r="72" ht="15.75" customHeight="1">
      <c r="D72" s="453"/>
      <c r="E72" s="74"/>
      <c r="F72" s="74"/>
      <c r="G72" s="74"/>
      <c r="H72" s="74"/>
      <c r="I72" s="433"/>
      <c r="J72" s="434"/>
      <c r="K72" s="74"/>
      <c r="L72" s="74"/>
      <c r="M72" s="74"/>
      <c r="N72" s="74"/>
      <c r="O72" s="74"/>
      <c r="P72" s="74"/>
      <c r="Q72" s="74"/>
      <c r="R72" s="435"/>
      <c r="S72" s="74"/>
      <c r="T72" s="74"/>
      <c r="U72" s="436">
        <v>0.0</v>
      </c>
      <c r="V72" s="74"/>
      <c r="W72" s="74"/>
      <c r="Z72" s="433"/>
      <c r="AA72" s="434"/>
      <c r="AB72" s="74"/>
      <c r="AC72" s="74"/>
      <c r="AD72" s="74"/>
      <c r="AE72" s="74"/>
      <c r="AF72" s="74"/>
      <c r="AG72" s="74"/>
      <c r="AH72" s="74"/>
      <c r="AI72" s="435"/>
      <c r="AJ72" s="74"/>
      <c r="AK72" s="74"/>
      <c r="AL72" s="436">
        <v>0.0</v>
      </c>
      <c r="AM72" s="74"/>
      <c r="AN72" s="74"/>
      <c r="AQ72" s="437">
        <f t="shared" si="1"/>
        <v>0</v>
      </c>
      <c r="AR72" s="438">
        <f t="shared" si="2"/>
        <v>0</v>
      </c>
      <c r="AS72" s="439">
        <f t="shared" si="3"/>
        <v>0</v>
      </c>
      <c r="AT72" s="438">
        <f t="shared" si="4"/>
        <v>0</v>
      </c>
      <c r="AU72" s="422"/>
      <c r="AV72" s="422"/>
      <c r="AW72" s="422"/>
      <c r="AX72" s="422"/>
      <c r="AY72" s="422"/>
      <c r="AZ72" s="422"/>
    </row>
    <row r="73" ht="15.75" customHeight="1">
      <c r="D73" s="453"/>
      <c r="E73" s="74"/>
      <c r="F73" s="74"/>
      <c r="G73" s="74"/>
      <c r="H73" s="74"/>
      <c r="I73" s="433"/>
      <c r="J73" s="434"/>
      <c r="K73" s="74"/>
      <c r="L73" s="74"/>
      <c r="M73" s="74"/>
      <c r="N73" s="74"/>
      <c r="O73" s="74"/>
      <c r="P73" s="74"/>
      <c r="Q73" s="74"/>
      <c r="R73" s="435"/>
      <c r="S73" s="74"/>
      <c r="T73" s="74"/>
      <c r="U73" s="436">
        <v>0.0</v>
      </c>
      <c r="V73" s="74"/>
      <c r="W73" s="74"/>
      <c r="Z73" s="433"/>
      <c r="AA73" s="434"/>
      <c r="AB73" s="74"/>
      <c r="AC73" s="74"/>
      <c r="AD73" s="74"/>
      <c r="AE73" s="74"/>
      <c r="AF73" s="74"/>
      <c r="AG73" s="74"/>
      <c r="AH73" s="74"/>
      <c r="AI73" s="435"/>
      <c r="AJ73" s="74"/>
      <c r="AK73" s="74"/>
      <c r="AL73" s="436">
        <v>0.0</v>
      </c>
      <c r="AM73" s="74"/>
      <c r="AN73" s="74"/>
      <c r="AQ73" s="437">
        <f t="shared" si="1"/>
        <v>0</v>
      </c>
      <c r="AR73" s="438">
        <f t="shared" si="2"/>
        <v>0</v>
      </c>
      <c r="AS73" s="439">
        <f t="shared" si="3"/>
        <v>0</v>
      </c>
      <c r="AT73" s="438">
        <f t="shared" si="4"/>
        <v>0</v>
      </c>
      <c r="AU73" s="422"/>
      <c r="AV73" s="422"/>
      <c r="AW73" s="422"/>
      <c r="AX73" s="422"/>
      <c r="AY73" s="422"/>
      <c r="AZ73" s="422"/>
    </row>
    <row r="74" ht="15.75" customHeight="1">
      <c r="D74" s="453"/>
      <c r="E74" s="74"/>
      <c r="F74" s="74"/>
      <c r="G74" s="74"/>
      <c r="H74" s="74"/>
      <c r="I74" s="433"/>
      <c r="J74" s="434"/>
      <c r="K74" s="74"/>
      <c r="L74" s="74"/>
      <c r="M74" s="74"/>
      <c r="N74" s="74"/>
      <c r="O74" s="74"/>
      <c r="P74" s="74"/>
      <c r="Q74" s="74"/>
      <c r="R74" s="440"/>
      <c r="S74" s="74"/>
      <c r="T74" s="74"/>
      <c r="U74" s="436">
        <v>0.0</v>
      </c>
      <c r="V74" s="74"/>
      <c r="W74" s="74"/>
      <c r="Z74" s="433"/>
      <c r="AA74" s="434"/>
      <c r="AB74" s="74"/>
      <c r="AC74" s="74"/>
      <c r="AD74" s="74"/>
      <c r="AE74" s="74"/>
      <c r="AF74" s="74"/>
      <c r="AG74" s="74"/>
      <c r="AH74" s="74"/>
      <c r="AI74" s="440"/>
      <c r="AJ74" s="74"/>
      <c r="AK74" s="74"/>
      <c r="AL74" s="436">
        <v>0.0</v>
      </c>
      <c r="AM74" s="74"/>
      <c r="AN74" s="74"/>
      <c r="AQ74" s="437">
        <f t="shared" si="1"/>
        <v>0</v>
      </c>
      <c r="AR74" s="438">
        <f t="shared" si="2"/>
        <v>0</v>
      </c>
      <c r="AS74" s="439">
        <f t="shared" si="3"/>
        <v>0</v>
      </c>
      <c r="AT74" s="438">
        <f t="shared" si="4"/>
        <v>0</v>
      </c>
      <c r="AU74" s="422"/>
      <c r="AV74" s="422"/>
      <c r="AW74" s="422"/>
      <c r="AX74" s="422"/>
      <c r="AY74" s="422"/>
      <c r="AZ74" s="422"/>
    </row>
    <row r="75" ht="15.75" customHeight="1">
      <c r="D75" s="453"/>
      <c r="E75" s="74"/>
      <c r="F75" s="74"/>
      <c r="G75" s="74"/>
      <c r="H75" s="74"/>
      <c r="I75" s="433"/>
      <c r="J75" s="434"/>
      <c r="K75" s="74"/>
      <c r="L75" s="74"/>
      <c r="M75" s="74"/>
      <c r="N75" s="74"/>
      <c r="O75" s="74"/>
      <c r="P75" s="74"/>
      <c r="Q75" s="74"/>
      <c r="R75" s="435"/>
      <c r="S75" s="74"/>
      <c r="T75" s="74"/>
      <c r="U75" s="436">
        <v>0.0</v>
      </c>
      <c r="V75" s="74"/>
      <c r="W75" s="74"/>
      <c r="Z75" s="433"/>
      <c r="AA75" s="434"/>
      <c r="AB75" s="74"/>
      <c r="AC75" s="74"/>
      <c r="AD75" s="74"/>
      <c r="AE75" s="74"/>
      <c r="AF75" s="74"/>
      <c r="AG75" s="74"/>
      <c r="AH75" s="74"/>
      <c r="AI75" s="435"/>
      <c r="AJ75" s="74"/>
      <c r="AK75" s="74"/>
      <c r="AL75" s="436">
        <v>0.0</v>
      </c>
      <c r="AM75" s="74"/>
      <c r="AN75" s="74"/>
      <c r="AQ75" s="437">
        <f t="shared" si="1"/>
        <v>0</v>
      </c>
      <c r="AR75" s="438">
        <f t="shared" si="2"/>
        <v>0</v>
      </c>
      <c r="AS75" s="439">
        <f t="shared" si="3"/>
        <v>0</v>
      </c>
      <c r="AT75" s="438">
        <f t="shared" si="4"/>
        <v>0</v>
      </c>
      <c r="AU75" s="422"/>
      <c r="AV75" s="422"/>
      <c r="AW75" s="422"/>
      <c r="AX75" s="422"/>
      <c r="AY75" s="422"/>
      <c r="AZ75" s="422"/>
    </row>
    <row r="76" ht="15.75" customHeight="1">
      <c r="D76" s="453"/>
      <c r="E76" s="74"/>
      <c r="F76" s="74"/>
      <c r="G76" s="74"/>
      <c r="H76" s="74"/>
      <c r="I76" s="433"/>
      <c r="J76" s="434"/>
      <c r="K76" s="74"/>
      <c r="L76" s="74"/>
      <c r="M76" s="74"/>
      <c r="N76" s="74"/>
      <c r="O76" s="74"/>
      <c r="P76" s="74"/>
      <c r="Q76" s="74"/>
      <c r="R76" s="435"/>
      <c r="S76" s="74"/>
      <c r="T76" s="74"/>
      <c r="U76" s="436">
        <v>0.0</v>
      </c>
      <c r="V76" s="74"/>
      <c r="W76" s="74"/>
      <c r="Z76" s="433"/>
      <c r="AA76" s="434"/>
      <c r="AB76" s="74"/>
      <c r="AC76" s="74"/>
      <c r="AD76" s="74"/>
      <c r="AE76" s="74"/>
      <c r="AF76" s="74"/>
      <c r="AG76" s="74"/>
      <c r="AH76" s="74"/>
      <c r="AI76" s="435"/>
      <c r="AJ76" s="74"/>
      <c r="AK76" s="74"/>
      <c r="AL76" s="436">
        <v>0.0</v>
      </c>
      <c r="AM76" s="74"/>
      <c r="AN76" s="74"/>
      <c r="AQ76" s="454">
        <f t="shared" si="1"/>
        <v>0</v>
      </c>
      <c r="AR76" s="455">
        <f t="shared" si="2"/>
        <v>0</v>
      </c>
      <c r="AS76" s="439">
        <f t="shared" si="3"/>
        <v>0</v>
      </c>
      <c r="AT76" s="455">
        <f t="shared" si="4"/>
        <v>0</v>
      </c>
      <c r="AU76" s="422"/>
      <c r="AV76" s="422"/>
      <c r="AW76" s="422"/>
      <c r="AX76" s="422"/>
      <c r="AY76" s="422"/>
      <c r="AZ76" s="422"/>
    </row>
    <row r="77" ht="15.75" customHeight="1">
      <c r="D77" s="456"/>
      <c r="E77" s="84"/>
      <c r="F77" s="84"/>
      <c r="G77" s="84"/>
      <c r="H77" s="84"/>
      <c r="I77" s="103" t="s">
        <v>251</v>
      </c>
      <c r="J77" s="31"/>
      <c r="K77" s="31"/>
      <c r="L77" s="31"/>
      <c r="M77" s="31"/>
      <c r="N77" s="31"/>
      <c r="O77" s="31"/>
      <c r="P77" s="31"/>
      <c r="Q77" s="31"/>
      <c r="R77" s="31"/>
      <c r="S77" s="31"/>
      <c r="T77" s="31"/>
      <c r="U77" s="31"/>
      <c r="V77" s="31"/>
      <c r="W77" s="31"/>
      <c r="X77" s="31"/>
      <c r="Y77" s="31"/>
      <c r="Z77" s="31"/>
      <c r="AA77" s="31"/>
      <c r="AB77" s="31"/>
      <c r="AC77" s="31"/>
      <c r="AD77" s="31"/>
      <c r="AE77" s="31"/>
      <c r="AF77" s="31"/>
      <c r="AG77" s="31"/>
      <c r="AH77" s="31"/>
      <c r="AI77" s="31"/>
      <c r="AJ77" s="31"/>
      <c r="AK77" s="31"/>
      <c r="AL77" s="31"/>
      <c r="AM77" s="31"/>
      <c r="AN77" s="31"/>
      <c r="AQ77" s="457"/>
      <c r="AR77" s="458"/>
      <c r="AS77" s="423"/>
      <c r="AT77" s="458"/>
      <c r="AU77" s="422"/>
      <c r="AV77" s="422"/>
      <c r="AW77" s="422"/>
      <c r="AX77" s="422"/>
      <c r="AY77" s="422"/>
      <c r="AZ77" s="422"/>
    </row>
    <row r="78" ht="15.75" customHeight="1">
      <c r="AQ78" s="457"/>
      <c r="AR78" s="458"/>
      <c r="AS78" s="423"/>
      <c r="AT78" s="458"/>
      <c r="AU78" s="422"/>
      <c r="AV78" s="422"/>
      <c r="AW78" s="422"/>
      <c r="AX78" s="422"/>
      <c r="AY78" s="422"/>
      <c r="AZ78" s="422"/>
    </row>
  </sheetData>
  <mergeCells count="524">
    <mergeCell ref="U2:W2"/>
    <mergeCell ref="AA2:AH2"/>
    <mergeCell ref="AI2:AK2"/>
    <mergeCell ref="AL2:AN2"/>
    <mergeCell ref="J2:Q2"/>
    <mergeCell ref="J3:Q3"/>
    <mergeCell ref="R3:T3"/>
    <mergeCell ref="U3:W3"/>
    <mergeCell ref="AA3:AH3"/>
    <mergeCell ref="AI3:AK3"/>
    <mergeCell ref="R4:T4"/>
    <mergeCell ref="U4:W4"/>
    <mergeCell ref="AA4:AH4"/>
    <mergeCell ref="AI4:AK4"/>
    <mergeCell ref="D3:G4"/>
    <mergeCell ref="J4:Q4"/>
    <mergeCell ref="D2:F2"/>
    <mergeCell ref="D5:E5"/>
    <mergeCell ref="J5:Q5"/>
    <mergeCell ref="R5:T5"/>
    <mergeCell ref="U5:W5"/>
    <mergeCell ref="AA5:AH5"/>
    <mergeCell ref="AI5:AK5"/>
    <mergeCell ref="AL5:AN5"/>
    <mergeCell ref="R6:T6"/>
    <mergeCell ref="U6:W6"/>
    <mergeCell ref="AA6:AH6"/>
    <mergeCell ref="AI6:AK6"/>
    <mergeCell ref="D6:G7"/>
    <mergeCell ref="J6:Q6"/>
    <mergeCell ref="J7:Q7"/>
    <mergeCell ref="R2:T2"/>
    <mergeCell ref="R7:T7"/>
    <mergeCell ref="U7:W7"/>
    <mergeCell ref="AA7:AH7"/>
    <mergeCell ref="AI7:AK7"/>
    <mergeCell ref="AL7:AN7"/>
    <mergeCell ref="D8:E8"/>
    <mergeCell ref="J8:Q8"/>
    <mergeCell ref="R8:T8"/>
    <mergeCell ref="U8:W8"/>
    <mergeCell ref="AA8:AH8"/>
    <mergeCell ref="AI8:AK8"/>
    <mergeCell ref="J9:Q9"/>
    <mergeCell ref="R9:T9"/>
    <mergeCell ref="U9:W9"/>
    <mergeCell ref="AA9:AH9"/>
    <mergeCell ref="AI9:AK9"/>
    <mergeCell ref="AL9:AN9"/>
    <mergeCell ref="J10:Q10"/>
    <mergeCell ref="R10:T10"/>
    <mergeCell ref="U10:W10"/>
    <mergeCell ref="AA10:AH10"/>
    <mergeCell ref="AI10:AK10"/>
    <mergeCell ref="AL10:AN10"/>
    <mergeCell ref="J11:Q11"/>
    <mergeCell ref="R11:T11"/>
    <mergeCell ref="U11:W11"/>
    <mergeCell ref="AA11:AH11"/>
    <mergeCell ref="AI11:AK11"/>
    <mergeCell ref="AL11:AN11"/>
    <mergeCell ref="J12:Q12"/>
    <mergeCell ref="R12:T12"/>
    <mergeCell ref="U12:W12"/>
    <mergeCell ref="AA12:AH12"/>
    <mergeCell ref="AI12:AK12"/>
    <mergeCell ref="AL12:AN12"/>
    <mergeCell ref="J13:Q13"/>
    <mergeCell ref="R13:T13"/>
    <mergeCell ref="U13:W13"/>
    <mergeCell ref="AA13:AH13"/>
    <mergeCell ref="AI13:AK13"/>
    <mergeCell ref="AL13:AN13"/>
    <mergeCell ref="J14:Q14"/>
    <mergeCell ref="R14:T14"/>
    <mergeCell ref="U14:W14"/>
    <mergeCell ref="AA14:AH14"/>
    <mergeCell ref="AI14:AK14"/>
    <mergeCell ref="AL14:AN14"/>
    <mergeCell ref="J15:Q15"/>
    <mergeCell ref="R15:T15"/>
    <mergeCell ref="U15:W15"/>
    <mergeCell ref="AA15:AH15"/>
    <mergeCell ref="AI15:AK15"/>
    <mergeCell ref="AL15:AN15"/>
    <mergeCell ref="J16:Q16"/>
    <mergeCell ref="R16:T16"/>
    <mergeCell ref="U16:W16"/>
    <mergeCell ref="AA16:AH16"/>
    <mergeCell ref="AI16:AK16"/>
    <mergeCell ref="AL16:AN16"/>
    <mergeCell ref="J17:Q17"/>
    <mergeCell ref="R17:T17"/>
    <mergeCell ref="U17:W17"/>
    <mergeCell ref="AA17:AH17"/>
    <mergeCell ref="AI17:AK17"/>
    <mergeCell ref="AL17:AN17"/>
    <mergeCell ref="D18:F18"/>
    <mergeCell ref="H18:H28"/>
    <mergeCell ref="H2:H17"/>
    <mergeCell ref="D9:G10"/>
    <mergeCell ref="D11:E11"/>
    <mergeCell ref="D12:G13"/>
    <mergeCell ref="D14:E14"/>
    <mergeCell ref="D15:G16"/>
    <mergeCell ref="D17:F17"/>
    <mergeCell ref="J18:Q18"/>
    <mergeCell ref="R18:T18"/>
    <mergeCell ref="U18:W18"/>
    <mergeCell ref="AA18:AH18"/>
    <mergeCell ref="AI18:AK18"/>
    <mergeCell ref="AL18:AN18"/>
    <mergeCell ref="E19:G19"/>
    <mergeCell ref="J19:Q19"/>
    <mergeCell ref="R19:T19"/>
    <mergeCell ref="U19:W19"/>
    <mergeCell ref="AA19:AH19"/>
    <mergeCell ref="AI19:AK19"/>
    <mergeCell ref="J20:Q20"/>
    <mergeCell ref="J21:Q21"/>
    <mergeCell ref="R21:T21"/>
    <mergeCell ref="U21:W21"/>
    <mergeCell ref="AA21:AH21"/>
    <mergeCell ref="AI21:AK21"/>
    <mergeCell ref="AL21:AN21"/>
    <mergeCell ref="D22:G22"/>
    <mergeCell ref="J22:Q22"/>
    <mergeCell ref="R22:T22"/>
    <mergeCell ref="U22:W22"/>
    <mergeCell ref="AA22:AH22"/>
    <mergeCell ref="AI22:AK22"/>
    <mergeCell ref="AL22:AN22"/>
    <mergeCell ref="D23:G23"/>
    <mergeCell ref="J23:Q23"/>
    <mergeCell ref="R23:T23"/>
    <mergeCell ref="U23:W23"/>
    <mergeCell ref="AA23:AH23"/>
    <mergeCell ref="AI23:AK23"/>
    <mergeCell ref="AL23:AN23"/>
    <mergeCell ref="E24:G24"/>
    <mergeCell ref="J24:Q24"/>
    <mergeCell ref="R24:T24"/>
    <mergeCell ref="U24:W24"/>
    <mergeCell ref="AA24:AH24"/>
    <mergeCell ref="AI24:AK24"/>
    <mergeCell ref="AL24:AN24"/>
    <mergeCell ref="D25:G26"/>
    <mergeCell ref="J25:Q25"/>
    <mergeCell ref="J26:Q26"/>
    <mergeCell ref="R25:T25"/>
    <mergeCell ref="U25:W25"/>
    <mergeCell ref="AA25:AH25"/>
    <mergeCell ref="AI25:AK25"/>
    <mergeCell ref="AL25:AN25"/>
    <mergeCell ref="R26:T26"/>
    <mergeCell ref="U26:W26"/>
    <mergeCell ref="AA26:AH26"/>
    <mergeCell ref="AI26:AK26"/>
    <mergeCell ref="AL26:AN26"/>
    <mergeCell ref="D27:G27"/>
    <mergeCell ref="J27:Q27"/>
    <mergeCell ref="R27:T27"/>
    <mergeCell ref="U27:W27"/>
    <mergeCell ref="AA27:AH27"/>
    <mergeCell ref="AI27:AK27"/>
    <mergeCell ref="AL27:AN27"/>
    <mergeCell ref="J28:Q28"/>
    <mergeCell ref="R28:T28"/>
    <mergeCell ref="U28:W28"/>
    <mergeCell ref="AA28:AH28"/>
    <mergeCell ref="AI28:AK28"/>
    <mergeCell ref="AL28:AN28"/>
    <mergeCell ref="D29:H29"/>
    <mergeCell ref="J29:Q29"/>
    <mergeCell ref="R29:T29"/>
    <mergeCell ref="U29:W29"/>
    <mergeCell ref="AA29:AH29"/>
    <mergeCell ref="AI29:AK29"/>
    <mergeCell ref="AL29:AN29"/>
    <mergeCell ref="D30:H30"/>
    <mergeCell ref="J30:Q30"/>
    <mergeCell ref="R30:T30"/>
    <mergeCell ref="U30:W30"/>
    <mergeCell ref="AA30:AH30"/>
    <mergeCell ref="AI30:AK30"/>
    <mergeCell ref="AL30:AN30"/>
    <mergeCell ref="D31:H31"/>
    <mergeCell ref="J31:Q31"/>
    <mergeCell ref="R31:T31"/>
    <mergeCell ref="U31:W31"/>
    <mergeCell ref="AA31:AH31"/>
    <mergeCell ref="AI31:AK31"/>
    <mergeCell ref="AL31:AN31"/>
    <mergeCell ref="D32:H32"/>
    <mergeCell ref="J32:Q32"/>
    <mergeCell ref="R32:T32"/>
    <mergeCell ref="U32:W32"/>
    <mergeCell ref="AA32:AH32"/>
    <mergeCell ref="AI32:AK32"/>
    <mergeCell ref="AL32:AN32"/>
    <mergeCell ref="D33:H33"/>
    <mergeCell ref="J33:Q33"/>
    <mergeCell ref="R33:T33"/>
    <mergeCell ref="U33:W33"/>
    <mergeCell ref="AA33:AH33"/>
    <mergeCell ref="AI33:AK33"/>
    <mergeCell ref="AL33:AN33"/>
    <mergeCell ref="D34:H34"/>
    <mergeCell ref="J34:Q34"/>
    <mergeCell ref="R34:T34"/>
    <mergeCell ref="U34:W34"/>
    <mergeCell ref="AA34:AH34"/>
    <mergeCell ref="AI34:AK34"/>
    <mergeCell ref="AL34:AN34"/>
    <mergeCell ref="D35:H35"/>
    <mergeCell ref="J35:Q35"/>
    <mergeCell ref="R35:T35"/>
    <mergeCell ref="U35:W35"/>
    <mergeCell ref="AA35:AH35"/>
    <mergeCell ref="AI35:AK35"/>
    <mergeCell ref="AL35:AN35"/>
    <mergeCell ref="D36:H36"/>
    <mergeCell ref="J36:Q36"/>
    <mergeCell ref="R36:T36"/>
    <mergeCell ref="U36:W36"/>
    <mergeCell ref="AA36:AH36"/>
    <mergeCell ref="AI36:AK36"/>
    <mergeCell ref="AL36:AN36"/>
    <mergeCell ref="D37:H37"/>
    <mergeCell ref="J37:Q37"/>
    <mergeCell ref="R37:T37"/>
    <mergeCell ref="U37:W37"/>
    <mergeCell ref="AA37:AH37"/>
    <mergeCell ref="AI37:AK37"/>
    <mergeCell ref="AL37:AN37"/>
    <mergeCell ref="D38:H38"/>
    <mergeCell ref="J38:Q38"/>
    <mergeCell ref="R38:T38"/>
    <mergeCell ref="U38:W38"/>
    <mergeCell ref="AA38:AH38"/>
    <mergeCell ref="AI38:AK38"/>
    <mergeCell ref="AL38:AN38"/>
    <mergeCell ref="D39:H39"/>
    <mergeCell ref="J39:Q39"/>
    <mergeCell ref="R39:T39"/>
    <mergeCell ref="U39:W39"/>
    <mergeCell ref="AA39:AH39"/>
    <mergeCell ref="AI39:AK39"/>
    <mergeCell ref="AL39:AN39"/>
    <mergeCell ref="D40:H40"/>
    <mergeCell ref="J40:Q40"/>
    <mergeCell ref="R40:T40"/>
    <mergeCell ref="U40:W40"/>
    <mergeCell ref="AA40:AH40"/>
    <mergeCell ref="AI40:AK40"/>
    <mergeCell ref="AL40:AN40"/>
    <mergeCell ref="D41:H41"/>
    <mergeCell ref="J41:Q41"/>
    <mergeCell ref="R41:T41"/>
    <mergeCell ref="U41:W41"/>
    <mergeCell ref="AA41:AH41"/>
    <mergeCell ref="AI41:AK41"/>
    <mergeCell ref="AL41:AN41"/>
    <mergeCell ref="D42:H42"/>
    <mergeCell ref="J42:Q42"/>
    <mergeCell ref="R42:T42"/>
    <mergeCell ref="U42:W42"/>
    <mergeCell ref="AA42:AH42"/>
    <mergeCell ref="AI42:AK42"/>
    <mergeCell ref="AL42:AN42"/>
    <mergeCell ref="D43:H43"/>
    <mergeCell ref="J43:Q43"/>
    <mergeCell ref="R43:T43"/>
    <mergeCell ref="U43:W43"/>
    <mergeCell ref="AA43:AH43"/>
    <mergeCell ref="AI43:AK43"/>
    <mergeCell ref="AL43:AN43"/>
    <mergeCell ref="D44:H44"/>
    <mergeCell ref="J44:Q44"/>
    <mergeCell ref="R44:T44"/>
    <mergeCell ref="U44:W44"/>
    <mergeCell ref="AA44:AH44"/>
    <mergeCell ref="AI44:AK44"/>
    <mergeCell ref="AL44:AN44"/>
    <mergeCell ref="D45:H45"/>
    <mergeCell ref="J45:Q45"/>
    <mergeCell ref="R45:T45"/>
    <mergeCell ref="U45:W45"/>
    <mergeCell ref="AA45:AH45"/>
    <mergeCell ref="AI45:AK45"/>
    <mergeCell ref="AL45:AN45"/>
    <mergeCell ref="D46:H46"/>
    <mergeCell ref="J46:Q46"/>
    <mergeCell ref="R46:T46"/>
    <mergeCell ref="U46:W46"/>
    <mergeCell ref="AA46:AH46"/>
    <mergeCell ref="AI46:AK46"/>
    <mergeCell ref="AL46:AN46"/>
    <mergeCell ref="D47:H47"/>
    <mergeCell ref="J47:Q47"/>
    <mergeCell ref="R47:T47"/>
    <mergeCell ref="U47:W47"/>
    <mergeCell ref="AA47:AH47"/>
    <mergeCell ref="AI47:AK47"/>
    <mergeCell ref="AL47:AN47"/>
    <mergeCell ref="D48:H48"/>
    <mergeCell ref="J48:Q48"/>
    <mergeCell ref="R48:T48"/>
    <mergeCell ref="U48:W48"/>
    <mergeCell ref="AA48:AH48"/>
    <mergeCell ref="AI48:AK48"/>
    <mergeCell ref="AL48:AN48"/>
    <mergeCell ref="D49:H49"/>
    <mergeCell ref="J49:Q49"/>
    <mergeCell ref="R49:T49"/>
    <mergeCell ref="U49:W49"/>
    <mergeCell ref="AA49:AH49"/>
    <mergeCell ref="AI49:AK49"/>
    <mergeCell ref="AL49:AN49"/>
    <mergeCell ref="D50:H50"/>
    <mergeCell ref="J50:Q50"/>
    <mergeCell ref="R50:T50"/>
    <mergeCell ref="U50:W50"/>
    <mergeCell ref="AA50:AH50"/>
    <mergeCell ref="AI50:AK50"/>
    <mergeCell ref="AL50:AN50"/>
    <mergeCell ref="D51:H51"/>
    <mergeCell ref="J51:Q51"/>
    <mergeCell ref="R51:T51"/>
    <mergeCell ref="U51:W51"/>
    <mergeCell ref="AA51:AH51"/>
    <mergeCell ref="AI51:AK51"/>
    <mergeCell ref="AL51:AN51"/>
    <mergeCell ref="D52:H52"/>
    <mergeCell ref="J66:Q66"/>
    <mergeCell ref="R66:T66"/>
    <mergeCell ref="U66:W66"/>
    <mergeCell ref="AA66:AH66"/>
    <mergeCell ref="AI66:AK66"/>
    <mergeCell ref="AL66:AN66"/>
    <mergeCell ref="D67:H67"/>
    <mergeCell ref="J67:Q67"/>
    <mergeCell ref="R67:T67"/>
    <mergeCell ref="U67:W67"/>
    <mergeCell ref="AA67:AH67"/>
    <mergeCell ref="AI67:AK67"/>
    <mergeCell ref="AL67:AN67"/>
    <mergeCell ref="D68:H68"/>
    <mergeCell ref="J68:Q68"/>
    <mergeCell ref="R68:T68"/>
    <mergeCell ref="U68:W68"/>
    <mergeCell ref="AA68:AH68"/>
    <mergeCell ref="AI68:AK68"/>
    <mergeCell ref="AL68:AN68"/>
    <mergeCell ref="D69:H69"/>
    <mergeCell ref="J69:Q69"/>
    <mergeCell ref="R69:T69"/>
    <mergeCell ref="U69:W69"/>
    <mergeCell ref="AA69:AH69"/>
    <mergeCell ref="AI69:AK69"/>
    <mergeCell ref="AL69:AN69"/>
    <mergeCell ref="D70:H70"/>
    <mergeCell ref="J70:Q70"/>
    <mergeCell ref="R70:T70"/>
    <mergeCell ref="U70:W70"/>
    <mergeCell ref="AA70:AH70"/>
    <mergeCell ref="AI70:AK70"/>
    <mergeCell ref="AL70:AN70"/>
    <mergeCell ref="D71:H71"/>
    <mergeCell ref="J71:Q71"/>
    <mergeCell ref="R71:T71"/>
    <mergeCell ref="U71:W71"/>
    <mergeCell ref="AA71:AH71"/>
    <mergeCell ref="AI71:AK71"/>
    <mergeCell ref="AL71:AN71"/>
    <mergeCell ref="D72:H72"/>
    <mergeCell ref="J72:Q72"/>
    <mergeCell ref="R72:T72"/>
    <mergeCell ref="U72:W72"/>
    <mergeCell ref="AA72:AH72"/>
    <mergeCell ref="AI72:AK72"/>
    <mergeCell ref="AL72:AN72"/>
    <mergeCell ref="D73:H73"/>
    <mergeCell ref="J73:Q73"/>
    <mergeCell ref="R73:T73"/>
    <mergeCell ref="U73:W73"/>
    <mergeCell ref="AA73:AH73"/>
    <mergeCell ref="AI73:AK73"/>
    <mergeCell ref="AL73:AN73"/>
    <mergeCell ref="D74:H74"/>
    <mergeCell ref="AL19:AN19"/>
    <mergeCell ref="D20:G21"/>
    <mergeCell ref="R20:T20"/>
    <mergeCell ref="U20:W20"/>
    <mergeCell ref="AA20:AH20"/>
    <mergeCell ref="AI20:AK20"/>
    <mergeCell ref="AL20:AN20"/>
    <mergeCell ref="J76:Q76"/>
    <mergeCell ref="R76:T76"/>
    <mergeCell ref="U76:W76"/>
    <mergeCell ref="AA76:AH76"/>
    <mergeCell ref="AI76:AK76"/>
    <mergeCell ref="AL76:AN76"/>
    <mergeCell ref="D77:H77"/>
    <mergeCell ref="I77:AN77"/>
    <mergeCell ref="B1:C78"/>
    <mergeCell ref="AO1:AO78"/>
    <mergeCell ref="X2:Y76"/>
    <mergeCell ref="AL3:AN3"/>
    <mergeCell ref="AL4:AN4"/>
    <mergeCell ref="AL6:AN6"/>
    <mergeCell ref="AL8:AN8"/>
    <mergeCell ref="J74:Q74"/>
    <mergeCell ref="R74:T74"/>
    <mergeCell ref="U74:W74"/>
    <mergeCell ref="AA74:AH74"/>
    <mergeCell ref="AI74:AK74"/>
    <mergeCell ref="AL74:AN74"/>
    <mergeCell ref="D75:H75"/>
    <mergeCell ref="J75:Q75"/>
    <mergeCell ref="R75:T75"/>
    <mergeCell ref="U75:W75"/>
    <mergeCell ref="AA75:AH75"/>
    <mergeCell ref="AI75:AK75"/>
    <mergeCell ref="AL75:AN75"/>
    <mergeCell ref="D76:H76"/>
    <mergeCell ref="J52:Q52"/>
    <mergeCell ref="R52:T52"/>
    <mergeCell ref="U52:W52"/>
    <mergeCell ref="AA52:AH52"/>
    <mergeCell ref="AI52:AK52"/>
    <mergeCell ref="AL52:AN52"/>
    <mergeCell ref="D53:H53"/>
    <mergeCell ref="J53:Q53"/>
    <mergeCell ref="R53:T53"/>
    <mergeCell ref="U53:W53"/>
    <mergeCell ref="AA53:AH53"/>
    <mergeCell ref="AI53:AK53"/>
    <mergeCell ref="AL53:AN53"/>
    <mergeCell ref="D54:H54"/>
    <mergeCell ref="J54:Q54"/>
    <mergeCell ref="R54:T54"/>
    <mergeCell ref="U54:W54"/>
    <mergeCell ref="AA54:AH54"/>
    <mergeCell ref="AI54:AK54"/>
    <mergeCell ref="AL54:AN54"/>
    <mergeCell ref="D55:H55"/>
    <mergeCell ref="J55:Q55"/>
    <mergeCell ref="R55:T55"/>
    <mergeCell ref="U55:W55"/>
    <mergeCell ref="AA55:AH55"/>
    <mergeCell ref="AI55:AK55"/>
    <mergeCell ref="AL55:AN55"/>
    <mergeCell ref="D56:H56"/>
    <mergeCell ref="J56:Q56"/>
    <mergeCell ref="R56:T56"/>
    <mergeCell ref="U56:W56"/>
    <mergeCell ref="AA56:AH56"/>
    <mergeCell ref="AI56:AK56"/>
    <mergeCell ref="AL56:AN56"/>
    <mergeCell ref="D57:H57"/>
    <mergeCell ref="J57:Q57"/>
    <mergeCell ref="R57:T57"/>
    <mergeCell ref="U57:W57"/>
    <mergeCell ref="AA57:AH57"/>
    <mergeCell ref="AI57:AK57"/>
    <mergeCell ref="AL57:AN57"/>
    <mergeCell ref="D58:H58"/>
    <mergeCell ref="J58:Q58"/>
    <mergeCell ref="R58:T58"/>
    <mergeCell ref="U58:W58"/>
    <mergeCell ref="AA58:AH58"/>
    <mergeCell ref="AI58:AK58"/>
    <mergeCell ref="AL58:AN58"/>
    <mergeCell ref="D59:H59"/>
    <mergeCell ref="J59:Q59"/>
    <mergeCell ref="R59:T59"/>
    <mergeCell ref="U59:W59"/>
    <mergeCell ref="AA59:AH59"/>
    <mergeCell ref="AI59:AK59"/>
    <mergeCell ref="AL59:AN59"/>
    <mergeCell ref="D60:H60"/>
    <mergeCell ref="J60:Q60"/>
    <mergeCell ref="R60:T60"/>
    <mergeCell ref="U60:W60"/>
    <mergeCell ref="AA60:AH60"/>
    <mergeCell ref="AI60:AK60"/>
    <mergeCell ref="AL60:AN60"/>
    <mergeCell ref="D61:H61"/>
    <mergeCell ref="J61:Q61"/>
    <mergeCell ref="R61:T61"/>
    <mergeCell ref="U61:W61"/>
    <mergeCell ref="AA61:AH61"/>
    <mergeCell ref="AI61:AK61"/>
    <mergeCell ref="AL61:AN61"/>
    <mergeCell ref="D62:H62"/>
    <mergeCell ref="J62:Q62"/>
    <mergeCell ref="R62:T62"/>
    <mergeCell ref="U62:W62"/>
    <mergeCell ref="AA62:AH62"/>
    <mergeCell ref="AI62:AK62"/>
    <mergeCell ref="AL62:AN62"/>
    <mergeCell ref="D63:H63"/>
    <mergeCell ref="J63:Q63"/>
    <mergeCell ref="R63:T63"/>
    <mergeCell ref="U63:W63"/>
    <mergeCell ref="AA63:AH63"/>
    <mergeCell ref="AI63:AK63"/>
    <mergeCell ref="AL63:AN63"/>
    <mergeCell ref="D64:H64"/>
    <mergeCell ref="J64:Q64"/>
    <mergeCell ref="R64:T64"/>
    <mergeCell ref="U64:W64"/>
    <mergeCell ref="AA64:AH64"/>
    <mergeCell ref="AI64:AK64"/>
    <mergeCell ref="AL64:AN64"/>
    <mergeCell ref="D65:H65"/>
    <mergeCell ref="J65:Q65"/>
    <mergeCell ref="R65:T65"/>
    <mergeCell ref="U65:W65"/>
    <mergeCell ref="AA65:AH65"/>
    <mergeCell ref="AI65:AK65"/>
    <mergeCell ref="AL65:AN65"/>
    <mergeCell ref="D66:H66"/>
  </mergeCells>
  <conditionalFormatting sqref="I3:W76 Z3:AN76">
    <cfRule type="expression" dxfId="13" priority="1">
      <formula>AND($I3=0,$I3&lt;&gt;"")</formula>
    </cfRule>
  </conditionalFormatting>
  <conditionalFormatting sqref="R3:R76 AI3:AI76">
    <cfRule type="containsText" dxfId="36" priority="2" operator="containsText" text="cp">
      <formula>NOT(ISERROR(SEARCH(("cp"),(R3))))</formula>
    </cfRule>
  </conditionalFormatting>
  <conditionalFormatting sqref="R3:R76 AI3:AI76">
    <cfRule type="containsText" dxfId="12" priority="3" operator="containsText" text="sp">
      <formula>NOT(ISERROR(SEARCH(("sp"),(R3))))</formula>
    </cfRule>
  </conditionalFormatting>
  <conditionalFormatting sqref="R3:R76 AI3:AI76">
    <cfRule type="containsText" dxfId="11" priority="4" operator="containsText" text="ep">
      <formula>NOT(ISERROR(SEARCH(("ep"),(R3))))</formula>
    </cfRule>
  </conditionalFormatting>
  <conditionalFormatting sqref="R3:R76 AI3:AI76">
    <cfRule type="containsText" dxfId="38" priority="5" operator="containsText" text="pp">
      <formula>NOT(ISERROR(SEARCH(("pp"),(R3))))</formula>
    </cfRule>
  </conditionalFormatting>
  <conditionalFormatting sqref="R3:R76 AI3:AI76">
    <cfRule type="cellIs" dxfId="36" priority="6" operator="between">
      <formula>0.01</formula>
      <formula>0.09</formula>
    </cfRule>
  </conditionalFormatting>
  <conditionalFormatting sqref="R3:R76 AI3:AI76">
    <cfRule type="cellIs" dxfId="12" priority="7" operator="between">
      <formula>0.1</formula>
      <formula>0.9</formula>
    </cfRule>
  </conditionalFormatting>
  <conditionalFormatting sqref="R3:R76 AI3:AI76">
    <cfRule type="containsText" dxfId="5" priority="8" operator="containsText" text="gp">
      <formula>NOT(ISERROR(SEARCH(("gp"),(R3))))</formula>
    </cfRule>
  </conditionalFormatting>
  <conditionalFormatting sqref="R3:R76 AI3:AI76">
    <cfRule type="containsText" dxfId="5" priority="9" operator="containsText" text="gp">
      <formula>NOT(ISERROR(SEARCH(("gp"),(R3))))</formula>
    </cfRule>
  </conditionalFormatting>
  <conditionalFormatting sqref="R3:R76 U3:U76 AI3:AI76 AL3:AL76">
    <cfRule type="cellIs" dxfId="13" priority="10" operator="equal">
      <formula>"-"</formula>
    </cfRule>
  </conditionalFormatting>
  <conditionalFormatting sqref="E19">
    <cfRule type="cellIs" dxfId="35" priority="11" operator="equal">
      <formula>0</formula>
    </cfRule>
  </conditionalFormatting>
  <conditionalFormatting sqref="D20">
    <cfRule type="cellIs" dxfId="35" priority="12" operator="equal">
      <formula>0</formula>
    </cfRule>
  </conditionalFormatting>
  <conditionalFormatting sqref="D22 D27 I28 Z28">
    <cfRule type="expression" dxfId="0" priority="13">
      <formula>#REF!="Red"</formula>
    </cfRule>
  </conditionalFormatting>
  <conditionalFormatting sqref="D22 D27 I28 Z28">
    <cfRule type="expression" dxfId="4" priority="14">
      <formula>#REF!="Orange"</formula>
    </cfRule>
  </conditionalFormatting>
  <conditionalFormatting sqref="D22 D27 I28 Z28">
    <cfRule type="expression" dxfId="29" priority="15">
      <formula>#REF!="Yellow"</formula>
    </cfRule>
  </conditionalFormatting>
  <conditionalFormatting sqref="D22 D27 I28 Z28">
    <cfRule type="expression" dxfId="30" priority="16">
      <formula>#REF!="Green"</formula>
    </cfRule>
  </conditionalFormatting>
  <conditionalFormatting sqref="D22 D27 I28 Z28">
    <cfRule type="expression" dxfId="31" priority="17">
      <formula>#REF!="Cyan"</formula>
    </cfRule>
  </conditionalFormatting>
  <conditionalFormatting sqref="D22 D27 I28 Z28">
    <cfRule type="expression" dxfId="32" priority="18">
      <formula>#REF!="Blue"</formula>
    </cfRule>
  </conditionalFormatting>
  <conditionalFormatting sqref="D22 D27 I28 Z28">
    <cfRule type="expression" dxfId="33" priority="19">
      <formula>#REF!="Purple"</formula>
    </cfRule>
  </conditionalFormatting>
  <conditionalFormatting sqref="D22 D27 I28 Z28">
    <cfRule type="expression" dxfId="34" priority="20">
      <formula>#REF!="Magenta"</formula>
    </cfRule>
  </conditionalFormatting>
  <conditionalFormatting sqref="D25">
    <cfRule type="expression" dxfId="0" priority="21">
      <formula>$D$25&gt;$E$24</formula>
    </cfRule>
  </conditionalFormatting>
  <conditionalFormatting sqref="D25">
    <cfRule type="cellIs" dxfId="35" priority="22" operator="equal">
      <formula>0</formula>
    </cfRule>
  </conditionalFormatting>
  <conditionalFormatting sqref="D25:G26">
    <cfRule type="expression" dxfId="40" priority="23">
      <formula>$D$25&lt;=(E$24*0.25)</formula>
    </cfRule>
  </conditionalFormatting>
  <conditionalFormatting sqref="D25:G26">
    <cfRule type="expression" dxfId="12" priority="24">
      <formula>$D$25&lt;=(E$24*0.5)</formula>
    </cfRule>
  </conditionalFormatting>
  <conditionalFormatting sqref="D25:G26">
    <cfRule type="expression" dxfId="41" priority="25">
      <formula>$D$25&lt;=(E$24*0.75)</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42" width="3.0"/>
  </cols>
  <sheetData>
    <row r="1" ht="15.75" customHeight="1">
      <c r="A1" s="459"/>
      <c r="B1" s="460" t="str">
        <f>IMAGE("http://i.imgur.com/gbsVPTj.png",4,794,20)</f>
        <v/>
      </c>
      <c r="C1" s="459"/>
      <c r="D1" s="459"/>
      <c r="E1" s="459"/>
      <c r="F1" s="459"/>
      <c r="G1" s="459"/>
      <c r="H1" s="459"/>
      <c r="I1" s="459"/>
      <c r="J1" s="459"/>
      <c r="K1" s="459"/>
      <c r="L1" s="459"/>
      <c r="M1" s="459"/>
      <c r="N1" s="459"/>
      <c r="O1" s="459"/>
      <c r="P1" s="459"/>
      <c r="Q1" s="459"/>
      <c r="R1" s="459"/>
      <c r="S1" s="459"/>
      <c r="T1" s="459"/>
      <c r="U1" s="459"/>
      <c r="V1" s="459"/>
      <c r="W1" s="459"/>
      <c r="X1" s="459"/>
      <c r="Y1" s="459"/>
      <c r="Z1" s="459"/>
      <c r="AA1" s="459"/>
      <c r="AB1" s="459"/>
      <c r="AC1" s="459"/>
      <c r="AD1" s="459"/>
      <c r="AE1" s="459"/>
      <c r="AF1" s="459"/>
      <c r="AG1" s="459"/>
      <c r="AH1" s="459"/>
      <c r="AI1" s="459"/>
      <c r="AJ1" s="459"/>
      <c r="AK1" s="459"/>
      <c r="AL1" s="459"/>
      <c r="AM1" s="459"/>
      <c r="AN1" s="459"/>
      <c r="AO1" s="460" t="str">
        <f>IMAGE("http://i.imgur.com/bjRc7Lz.png",4,794,20)</f>
        <v/>
      </c>
      <c r="AP1" s="459"/>
    </row>
    <row r="2" ht="15.75" customHeight="1">
      <c r="A2" s="459"/>
      <c r="C2" s="461" t="s">
        <v>252</v>
      </c>
      <c r="D2" s="70"/>
      <c r="E2" s="70"/>
      <c r="F2" s="70"/>
      <c r="G2" s="70"/>
      <c r="H2" s="70"/>
      <c r="I2" s="70"/>
      <c r="J2" s="70"/>
      <c r="K2" s="70"/>
      <c r="L2" s="70"/>
      <c r="M2" s="70"/>
      <c r="N2" s="70"/>
      <c r="O2" s="70"/>
      <c r="P2" s="70"/>
      <c r="Q2" s="70"/>
      <c r="R2" s="70"/>
      <c r="S2" s="70"/>
      <c r="T2" s="70"/>
      <c r="U2" s="70"/>
      <c r="V2" s="70"/>
      <c r="W2" s="70"/>
      <c r="X2" s="70"/>
      <c r="Y2" s="70"/>
      <c r="Z2" s="70"/>
      <c r="AA2" s="70"/>
      <c r="AB2" s="70"/>
      <c r="AC2" s="70"/>
      <c r="AD2" s="70"/>
      <c r="AE2" s="70"/>
      <c r="AF2" s="70"/>
      <c r="AG2" s="70"/>
      <c r="AH2" s="70"/>
      <c r="AI2" s="70"/>
      <c r="AJ2" s="70"/>
      <c r="AK2" s="70"/>
      <c r="AL2" s="70"/>
      <c r="AM2" s="70"/>
      <c r="AN2" s="70"/>
      <c r="AP2" s="459"/>
    </row>
    <row r="3" ht="15.75" customHeight="1">
      <c r="A3" s="459"/>
      <c r="C3" s="462" t="s">
        <v>253</v>
      </c>
      <c r="D3" s="74"/>
      <c r="E3" s="74"/>
      <c r="F3" s="74"/>
      <c r="G3" s="74"/>
      <c r="H3" s="74"/>
      <c r="I3" s="74"/>
      <c r="J3" s="74"/>
      <c r="K3" s="74"/>
      <c r="L3" s="74"/>
      <c r="M3" s="74"/>
      <c r="N3" s="74"/>
      <c r="O3" s="74"/>
      <c r="P3" s="74"/>
      <c r="Q3" s="74"/>
      <c r="R3" s="74"/>
      <c r="S3" s="74"/>
      <c r="T3" s="74"/>
      <c r="U3" s="74"/>
      <c r="V3" s="74"/>
      <c r="W3" s="74"/>
      <c r="X3" s="74"/>
      <c r="Y3" s="74"/>
      <c r="Z3" s="74"/>
      <c r="AA3" s="74"/>
      <c r="AB3" s="74"/>
      <c r="AC3" s="74"/>
      <c r="AD3" s="74"/>
      <c r="AE3" s="74"/>
      <c r="AF3" s="74"/>
      <c r="AG3" s="74"/>
      <c r="AH3" s="74"/>
      <c r="AI3" s="74"/>
      <c r="AJ3" s="74"/>
      <c r="AK3" s="74"/>
      <c r="AL3" s="74"/>
      <c r="AM3" s="74"/>
      <c r="AN3" s="74"/>
      <c r="AP3" s="459"/>
    </row>
    <row r="4" ht="15.75" customHeight="1">
      <c r="A4" s="459"/>
      <c r="C4" s="463" t="s">
        <v>254</v>
      </c>
      <c r="D4" s="74"/>
      <c r="E4" s="74"/>
      <c r="F4" s="74"/>
      <c r="G4" s="74"/>
      <c r="H4" s="74"/>
      <c r="I4" s="74"/>
      <c r="J4" s="74"/>
      <c r="K4" s="74"/>
      <c r="L4" s="74"/>
      <c r="M4" s="74"/>
      <c r="N4" s="74"/>
      <c r="O4" s="74"/>
      <c r="P4" s="74"/>
      <c r="Q4" s="74"/>
      <c r="R4" s="74"/>
      <c r="S4" s="74"/>
      <c r="T4" s="74"/>
      <c r="U4" s="74"/>
      <c r="V4" s="74"/>
      <c r="W4" s="74"/>
      <c r="X4" s="74"/>
      <c r="Y4" s="74"/>
      <c r="Z4" s="74"/>
      <c r="AA4" s="74"/>
      <c r="AB4" s="74"/>
      <c r="AC4" s="74"/>
      <c r="AD4" s="74"/>
      <c r="AE4" s="74"/>
      <c r="AF4" s="74"/>
      <c r="AG4" s="74"/>
      <c r="AH4" s="74"/>
      <c r="AI4" s="74"/>
      <c r="AJ4" s="74"/>
      <c r="AK4" s="74"/>
      <c r="AL4" s="74"/>
      <c r="AM4" s="74"/>
      <c r="AN4" s="74"/>
      <c r="AP4" s="459"/>
    </row>
    <row r="5" ht="15.75" customHeight="1">
      <c r="A5" s="459"/>
      <c r="C5" s="464"/>
      <c r="D5" s="166"/>
      <c r="E5" s="166"/>
      <c r="F5" s="166"/>
      <c r="G5" s="166"/>
      <c r="H5" s="166"/>
      <c r="I5" s="166"/>
      <c r="J5" s="166"/>
      <c r="K5" s="166"/>
      <c r="L5" s="166"/>
      <c r="M5" s="166"/>
      <c r="N5" s="166"/>
      <c r="O5" s="166"/>
      <c r="P5" s="166"/>
      <c r="Q5" s="166"/>
      <c r="R5" s="166"/>
      <c r="S5" s="166"/>
      <c r="T5" s="166"/>
      <c r="U5" s="166"/>
      <c r="V5" s="166"/>
      <c r="W5" s="166"/>
      <c r="X5" s="166"/>
      <c r="Y5" s="166"/>
      <c r="Z5" s="166"/>
      <c r="AA5" s="166"/>
      <c r="AB5" s="166"/>
      <c r="AC5" s="166"/>
      <c r="AD5" s="166"/>
      <c r="AE5" s="166"/>
      <c r="AF5" s="166"/>
      <c r="AG5" s="166"/>
      <c r="AH5" s="166"/>
      <c r="AI5" s="166"/>
      <c r="AJ5" s="166"/>
      <c r="AK5" s="166"/>
      <c r="AL5" s="166"/>
      <c r="AM5" s="166"/>
      <c r="AN5" s="166"/>
      <c r="AP5" s="459"/>
    </row>
    <row r="6" ht="15.75" customHeight="1">
      <c r="A6" s="459"/>
      <c r="C6" s="464" t="s">
        <v>255</v>
      </c>
      <c r="D6" s="166"/>
      <c r="E6" s="166"/>
      <c r="F6" s="166"/>
      <c r="G6" s="166"/>
      <c r="H6" s="166"/>
      <c r="I6" s="166"/>
      <c r="J6" s="166"/>
      <c r="K6" s="166"/>
      <c r="L6" s="166"/>
      <c r="M6" s="166"/>
      <c r="N6" s="166"/>
      <c r="O6" s="166"/>
      <c r="P6" s="166"/>
      <c r="Q6" s="166"/>
      <c r="R6" s="166"/>
      <c r="S6" s="166"/>
      <c r="T6" s="166"/>
      <c r="U6" s="166"/>
      <c r="V6" s="166"/>
      <c r="W6" s="166"/>
      <c r="X6" s="166"/>
      <c r="Y6" s="166"/>
      <c r="Z6" s="166"/>
      <c r="AA6" s="166"/>
      <c r="AB6" s="166"/>
      <c r="AC6" s="166"/>
      <c r="AD6" s="166"/>
      <c r="AE6" s="166"/>
      <c r="AF6" s="166"/>
      <c r="AG6" s="166"/>
      <c r="AH6" s="166"/>
      <c r="AI6" s="166"/>
      <c r="AJ6" s="166"/>
      <c r="AK6" s="166"/>
      <c r="AL6" s="166"/>
      <c r="AM6" s="166"/>
      <c r="AN6" s="166"/>
      <c r="AP6" s="459"/>
    </row>
    <row r="7" ht="15.75" customHeight="1">
      <c r="A7" s="459"/>
      <c r="C7" s="465" t="s">
        <v>256</v>
      </c>
      <c r="D7" s="166"/>
      <c r="E7" s="166"/>
      <c r="F7" s="166"/>
      <c r="G7" s="166"/>
      <c r="H7" s="166"/>
      <c r="I7" s="166"/>
      <c r="J7" s="166"/>
      <c r="K7" s="166"/>
      <c r="L7" s="166"/>
      <c r="M7" s="166"/>
      <c r="N7" s="166"/>
      <c r="O7" s="166"/>
      <c r="P7" s="166"/>
      <c r="Q7" s="166"/>
      <c r="R7" s="166"/>
      <c r="S7" s="166"/>
      <c r="T7" s="166"/>
      <c r="U7" s="166"/>
      <c r="V7" s="166"/>
      <c r="W7" s="166"/>
      <c r="X7" s="166"/>
      <c r="Y7" s="166"/>
      <c r="Z7" s="166"/>
      <c r="AA7" s="166"/>
      <c r="AB7" s="166"/>
      <c r="AC7" s="166"/>
      <c r="AD7" s="166"/>
      <c r="AE7" s="166"/>
      <c r="AF7" s="166"/>
      <c r="AG7" s="166"/>
      <c r="AH7" s="166"/>
      <c r="AI7" s="166"/>
      <c r="AJ7" s="166"/>
      <c r="AK7" s="166"/>
      <c r="AL7" s="166"/>
      <c r="AM7" s="166"/>
      <c r="AN7" s="166"/>
      <c r="AP7" s="459"/>
    </row>
    <row r="8" ht="15.75" customHeight="1">
      <c r="A8" s="459"/>
      <c r="C8" s="462" t="s">
        <v>257</v>
      </c>
      <c r="D8" s="74"/>
      <c r="E8" s="74"/>
      <c r="F8" s="74"/>
      <c r="G8" s="74"/>
      <c r="H8" s="74"/>
      <c r="I8" s="74"/>
      <c r="J8" s="74"/>
      <c r="K8" s="74"/>
      <c r="L8" s="74"/>
      <c r="M8" s="74"/>
      <c r="N8" s="74"/>
      <c r="O8" s="74"/>
      <c r="P8" s="74"/>
      <c r="Q8" s="74"/>
      <c r="R8" s="74"/>
      <c r="S8" s="74"/>
      <c r="T8" s="74"/>
      <c r="U8" s="74"/>
      <c r="V8" s="74"/>
      <c r="W8" s="74"/>
      <c r="X8" s="74"/>
      <c r="Y8" s="74"/>
      <c r="Z8" s="74"/>
      <c r="AA8" s="74"/>
      <c r="AB8" s="74"/>
      <c r="AC8" s="74"/>
      <c r="AD8" s="74"/>
      <c r="AE8" s="74"/>
      <c r="AF8" s="74"/>
      <c r="AG8" s="74"/>
      <c r="AH8" s="74"/>
      <c r="AI8" s="74"/>
      <c r="AJ8" s="74"/>
      <c r="AK8" s="74"/>
      <c r="AL8" s="74"/>
      <c r="AM8" s="74"/>
      <c r="AN8" s="74"/>
      <c r="AP8" s="459"/>
    </row>
    <row r="9" ht="15.75" customHeight="1">
      <c r="A9" s="459"/>
      <c r="C9" s="462" t="s">
        <v>258</v>
      </c>
      <c r="D9" s="74"/>
      <c r="E9" s="74"/>
      <c r="F9" s="74"/>
      <c r="G9" s="74"/>
      <c r="H9" s="74"/>
      <c r="I9" s="74"/>
      <c r="J9" s="74"/>
      <c r="K9" s="74"/>
      <c r="L9" s="74"/>
      <c r="M9" s="74"/>
      <c r="N9" s="74"/>
      <c r="O9" s="74"/>
      <c r="P9" s="74"/>
      <c r="Q9" s="74"/>
      <c r="R9" s="74"/>
      <c r="S9" s="74"/>
      <c r="T9" s="74"/>
      <c r="U9" s="74"/>
      <c r="V9" s="74"/>
      <c r="W9" s="74"/>
      <c r="X9" s="74"/>
      <c r="Y9" s="74"/>
      <c r="Z9" s="74"/>
      <c r="AA9" s="74"/>
      <c r="AB9" s="74"/>
      <c r="AC9" s="74"/>
      <c r="AD9" s="74"/>
      <c r="AE9" s="74"/>
      <c r="AF9" s="74"/>
      <c r="AG9" s="74"/>
      <c r="AH9" s="74"/>
      <c r="AI9" s="74"/>
      <c r="AJ9" s="74"/>
      <c r="AK9" s="74"/>
      <c r="AL9" s="74"/>
      <c r="AM9" s="74"/>
      <c r="AN9" s="74"/>
      <c r="AP9" s="459"/>
    </row>
    <row r="10" ht="15.75" customHeight="1">
      <c r="A10" s="459"/>
      <c r="AP10" s="459"/>
    </row>
    <row r="11" ht="15.75" customHeight="1">
      <c r="A11" s="459"/>
      <c r="C11" s="466" t="s">
        <v>259</v>
      </c>
      <c r="D11" s="74"/>
      <c r="E11" s="74"/>
      <c r="F11" s="74"/>
      <c r="G11" s="74"/>
      <c r="H11" s="74"/>
      <c r="I11" s="74"/>
      <c r="J11" s="74"/>
      <c r="K11" s="74"/>
      <c r="L11" s="74"/>
      <c r="M11" s="74"/>
      <c r="N11" s="74"/>
      <c r="O11" s="74"/>
      <c r="P11" s="74"/>
      <c r="Q11" s="74"/>
      <c r="R11" s="74"/>
      <c r="S11" s="74"/>
      <c r="T11" s="74"/>
      <c r="U11" s="74"/>
      <c r="V11" s="74"/>
      <c r="W11" s="74"/>
      <c r="X11" s="74"/>
      <c r="Y11" s="74"/>
      <c r="Z11" s="74"/>
      <c r="AA11" s="74"/>
      <c r="AB11" s="74"/>
      <c r="AC11" s="74"/>
      <c r="AD11" s="74"/>
      <c r="AE11" s="74"/>
      <c r="AF11" s="74"/>
      <c r="AG11" s="74"/>
      <c r="AH11" s="74"/>
      <c r="AI11" s="74"/>
      <c r="AJ11" s="74"/>
      <c r="AK11" s="74"/>
      <c r="AL11" s="74"/>
      <c r="AM11" s="74"/>
      <c r="AN11" s="74"/>
      <c r="AP11" s="459"/>
    </row>
    <row r="12" ht="15.75" customHeight="1">
      <c r="A12" s="459"/>
      <c r="C12" s="462" t="s">
        <v>260</v>
      </c>
      <c r="D12" s="74"/>
      <c r="E12" s="74"/>
      <c r="F12" s="74"/>
      <c r="G12" s="74"/>
      <c r="H12" s="74"/>
      <c r="I12" s="74"/>
      <c r="J12" s="74"/>
      <c r="K12" s="74"/>
      <c r="L12" s="74"/>
      <c r="M12" s="74"/>
      <c r="N12" s="74"/>
      <c r="O12" s="74"/>
      <c r="P12" s="74"/>
      <c r="Q12" s="74"/>
      <c r="R12" s="74"/>
      <c r="S12" s="74"/>
      <c r="T12" s="74"/>
      <c r="U12" s="74"/>
      <c r="V12" s="74"/>
      <c r="W12" s="74"/>
      <c r="X12" s="74"/>
      <c r="Y12" s="74"/>
      <c r="Z12" s="74"/>
      <c r="AA12" s="74"/>
      <c r="AB12" s="74"/>
      <c r="AC12" s="74"/>
      <c r="AD12" s="74"/>
      <c r="AE12" s="74"/>
      <c r="AF12" s="74"/>
      <c r="AG12" s="74"/>
      <c r="AH12" s="74"/>
      <c r="AI12" s="74"/>
      <c r="AJ12" s="74"/>
      <c r="AK12" s="74"/>
      <c r="AL12" s="74"/>
      <c r="AM12" s="74"/>
      <c r="AN12" s="74"/>
      <c r="AP12" s="459"/>
    </row>
    <row r="13" ht="15.75" customHeight="1">
      <c r="A13" s="459"/>
      <c r="C13" s="462" t="s">
        <v>261</v>
      </c>
      <c r="D13" s="74"/>
      <c r="E13" s="74"/>
      <c r="F13" s="74"/>
      <c r="G13" s="74"/>
      <c r="H13" s="74"/>
      <c r="I13" s="74"/>
      <c r="J13" s="74"/>
      <c r="K13" s="74"/>
      <c r="L13" s="74"/>
      <c r="M13" s="74"/>
      <c r="N13" s="74"/>
      <c r="O13" s="74"/>
      <c r="P13" s="74"/>
      <c r="Q13" s="74"/>
      <c r="R13" s="74"/>
      <c r="S13" s="74"/>
      <c r="T13" s="74"/>
      <c r="U13" s="74"/>
      <c r="V13" s="74"/>
      <c r="W13" s="74"/>
      <c r="X13" s="74"/>
      <c r="Y13" s="74"/>
      <c r="Z13" s="74"/>
      <c r="AA13" s="74"/>
      <c r="AB13" s="74"/>
      <c r="AC13" s="74"/>
      <c r="AD13" s="74"/>
      <c r="AE13" s="74"/>
      <c r="AF13" s="74"/>
      <c r="AG13" s="74"/>
      <c r="AH13" s="74"/>
      <c r="AI13" s="74"/>
      <c r="AJ13" s="74"/>
      <c r="AK13" s="74"/>
      <c r="AL13" s="74"/>
      <c r="AM13" s="74"/>
      <c r="AN13" s="74"/>
      <c r="AP13" s="459"/>
    </row>
    <row r="14" ht="15.75" customHeight="1">
      <c r="A14" s="459"/>
      <c r="C14" s="462" t="s">
        <v>262</v>
      </c>
      <c r="D14" s="74"/>
      <c r="E14" s="74"/>
      <c r="F14" s="74"/>
      <c r="G14" s="74"/>
      <c r="H14" s="74"/>
      <c r="I14" s="74"/>
      <c r="J14" s="74"/>
      <c r="K14" s="74"/>
      <c r="L14" s="74"/>
      <c r="M14" s="74"/>
      <c r="N14" s="74"/>
      <c r="O14" s="74"/>
      <c r="P14" s="74"/>
      <c r="Q14" s="74"/>
      <c r="R14" s="74"/>
      <c r="S14" s="74"/>
      <c r="T14" s="74"/>
      <c r="U14" s="74"/>
      <c r="V14" s="74"/>
      <c r="W14" s="74"/>
      <c r="X14" s="74"/>
      <c r="Y14" s="74"/>
      <c r="Z14" s="74"/>
      <c r="AA14" s="74"/>
      <c r="AB14" s="74"/>
      <c r="AC14" s="74"/>
      <c r="AD14" s="74"/>
      <c r="AE14" s="74"/>
      <c r="AF14" s="74"/>
      <c r="AG14" s="74"/>
      <c r="AH14" s="74"/>
      <c r="AI14" s="74"/>
      <c r="AJ14" s="74"/>
      <c r="AK14" s="74"/>
      <c r="AL14" s="74"/>
      <c r="AM14" s="74"/>
      <c r="AN14" s="74"/>
      <c r="AP14" s="459"/>
    </row>
    <row r="15" ht="15.75" customHeight="1">
      <c r="A15" s="459"/>
      <c r="AP15" s="459"/>
    </row>
    <row r="16" ht="15.75" customHeight="1">
      <c r="A16" s="459"/>
      <c r="C16" s="466" t="s">
        <v>263</v>
      </c>
      <c r="D16" s="74"/>
      <c r="E16" s="74"/>
      <c r="F16" s="74"/>
      <c r="G16" s="74"/>
      <c r="H16" s="74"/>
      <c r="I16" s="74"/>
      <c r="J16" s="74"/>
      <c r="K16" s="74"/>
      <c r="L16" s="74"/>
      <c r="M16" s="74"/>
      <c r="N16" s="74"/>
      <c r="O16" s="74"/>
      <c r="P16" s="74"/>
      <c r="Q16" s="74"/>
      <c r="R16" s="74"/>
      <c r="S16" s="74"/>
      <c r="T16" s="74"/>
      <c r="U16" s="74"/>
      <c r="V16" s="74"/>
      <c r="W16" s="74"/>
      <c r="X16" s="74"/>
      <c r="Y16" s="74"/>
      <c r="Z16" s="74"/>
      <c r="AA16" s="74"/>
      <c r="AB16" s="74"/>
      <c r="AC16" s="74"/>
      <c r="AD16" s="74"/>
      <c r="AE16" s="74"/>
      <c r="AF16" s="74"/>
      <c r="AG16" s="74"/>
      <c r="AH16" s="74"/>
      <c r="AI16" s="74"/>
      <c r="AJ16" s="74"/>
      <c r="AK16" s="74"/>
      <c r="AL16" s="74"/>
      <c r="AM16" s="74"/>
      <c r="AN16" s="74"/>
      <c r="AP16" s="459"/>
    </row>
    <row r="17" ht="15.75" customHeight="1">
      <c r="A17" s="459"/>
      <c r="C17" s="462" t="s">
        <v>264</v>
      </c>
      <c r="D17" s="74"/>
      <c r="E17" s="74"/>
      <c r="F17" s="74"/>
      <c r="G17" s="74"/>
      <c r="H17" s="74"/>
      <c r="I17" s="74"/>
      <c r="J17" s="74"/>
      <c r="K17" s="74"/>
      <c r="L17" s="74"/>
      <c r="M17" s="74"/>
      <c r="N17" s="74"/>
      <c r="O17" s="74"/>
      <c r="P17" s="74"/>
      <c r="Q17" s="74"/>
      <c r="R17" s="74"/>
      <c r="S17" s="74"/>
      <c r="T17" s="74"/>
      <c r="U17" s="74"/>
      <c r="V17" s="74"/>
      <c r="W17" s="74"/>
      <c r="X17" s="74"/>
      <c r="Y17" s="74"/>
      <c r="Z17" s="74"/>
      <c r="AA17" s="74"/>
      <c r="AB17" s="74"/>
      <c r="AC17" s="74"/>
      <c r="AD17" s="74"/>
      <c r="AE17" s="74"/>
      <c r="AF17" s="74"/>
      <c r="AG17" s="74"/>
      <c r="AH17" s="74"/>
      <c r="AI17" s="74"/>
      <c r="AJ17" s="74"/>
      <c r="AK17" s="74"/>
      <c r="AL17" s="74"/>
      <c r="AM17" s="74"/>
      <c r="AN17" s="74"/>
      <c r="AP17" s="459"/>
    </row>
    <row r="18" ht="15.75" customHeight="1">
      <c r="A18" s="459"/>
      <c r="C18" s="462"/>
      <c r="D18" s="74"/>
      <c r="E18" s="74"/>
      <c r="F18" s="74"/>
      <c r="G18" s="74"/>
      <c r="H18" s="74"/>
      <c r="I18" s="74"/>
      <c r="J18" s="74"/>
      <c r="K18" s="74"/>
      <c r="L18" s="74"/>
      <c r="M18" s="74"/>
      <c r="N18" s="74"/>
      <c r="O18" s="74"/>
      <c r="P18" s="74"/>
      <c r="Q18" s="74"/>
      <c r="R18" s="74"/>
      <c r="S18" s="74"/>
      <c r="T18" s="74"/>
      <c r="U18" s="74"/>
      <c r="V18" s="74"/>
      <c r="W18" s="74"/>
      <c r="X18" s="74"/>
      <c r="Y18" s="74"/>
      <c r="Z18" s="74"/>
      <c r="AA18" s="74"/>
      <c r="AB18" s="74"/>
      <c r="AC18" s="74"/>
      <c r="AD18" s="74"/>
      <c r="AE18" s="74"/>
      <c r="AF18" s="74"/>
      <c r="AG18" s="74"/>
      <c r="AH18" s="74"/>
      <c r="AI18" s="74"/>
      <c r="AJ18" s="74"/>
      <c r="AK18" s="74"/>
      <c r="AL18" s="74"/>
      <c r="AM18" s="74"/>
      <c r="AN18" s="74"/>
      <c r="AP18" s="459"/>
    </row>
    <row r="19" ht="15.75" customHeight="1">
      <c r="A19" s="459"/>
      <c r="C19" s="467" t="s">
        <v>265</v>
      </c>
      <c r="D19" s="74"/>
      <c r="E19" s="74"/>
      <c r="F19" s="74"/>
      <c r="G19" s="74"/>
      <c r="H19" s="74"/>
      <c r="I19" s="74"/>
      <c r="J19" s="74"/>
      <c r="K19" s="74"/>
      <c r="L19" s="74"/>
      <c r="M19" s="74"/>
      <c r="N19" s="74"/>
      <c r="O19" s="74"/>
      <c r="P19" s="74"/>
      <c r="Q19" s="74"/>
      <c r="R19" s="74"/>
      <c r="S19" s="74"/>
      <c r="T19" s="74"/>
      <c r="U19" s="74"/>
      <c r="V19" s="74"/>
      <c r="W19" s="74"/>
      <c r="X19" s="74"/>
      <c r="Y19" s="74"/>
      <c r="Z19" s="74"/>
      <c r="AA19" s="74"/>
      <c r="AB19" s="74"/>
      <c r="AC19" s="74"/>
      <c r="AD19" s="74"/>
      <c r="AE19" s="74"/>
      <c r="AF19" s="74"/>
      <c r="AG19" s="74"/>
      <c r="AH19" s="74"/>
      <c r="AI19" s="74"/>
      <c r="AJ19" s="74"/>
      <c r="AK19" s="74"/>
      <c r="AL19" s="74"/>
      <c r="AM19" s="74"/>
      <c r="AN19" s="74"/>
      <c r="AP19" s="459"/>
    </row>
    <row r="20" ht="15.75" customHeight="1">
      <c r="A20" s="459"/>
      <c r="C20" s="468" t="s">
        <v>266</v>
      </c>
      <c r="D20" s="166"/>
      <c r="E20" s="166"/>
      <c r="F20" s="166"/>
      <c r="G20" s="166"/>
      <c r="H20" s="166"/>
      <c r="I20" s="166"/>
      <c r="J20" s="166"/>
      <c r="K20" s="166"/>
      <c r="L20" s="166"/>
      <c r="M20" s="166"/>
      <c r="N20" s="166"/>
      <c r="O20" s="166"/>
      <c r="P20" s="166"/>
      <c r="Q20" s="166"/>
      <c r="R20" s="166"/>
      <c r="S20" s="166"/>
      <c r="T20" s="166"/>
      <c r="U20" s="166"/>
      <c r="V20" s="166"/>
      <c r="W20" s="166"/>
      <c r="X20" s="166"/>
      <c r="Y20" s="166"/>
      <c r="Z20" s="166"/>
      <c r="AA20" s="166"/>
      <c r="AB20" s="166"/>
      <c r="AC20" s="166"/>
      <c r="AD20" s="166"/>
      <c r="AE20" s="166"/>
      <c r="AF20" s="166"/>
      <c r="AG20" s="166"/>
      <c r="AH20" s="166"/>
      <c r="AI20" s="166"/>
      <c r="AJ20" s="166"/>
      <c r="AK20" s="166"/>
      <c r="AL20" s="166"/>
      <c r="AM20" s="166"/>
      <c r="AN20" s="166"/>
      <c r="AP20" s="459"/>
    </row>
    <row r="21" ht="15.75" customHeight="1">
      <c r="A21" s="459"/>
      <c r="C21" s="468" t="s">
        <v>267</v>
      </c>
      <c r="D21" s="166"/>
      <c r="E21" s="166"/>
      <c r="F21" s="166"/>
      <c r="G21" s="166"/>
      <c r="H21" s="166"/>
      <c r="I21" s="166"/>
      <c r="J21" s="166"/>
      <c r="K21" s="166"/>
      <c r="L21" s="166"/>
      <c r="M21" s="166"/>
      <c r="N21" s="166"/>
      <c r="O21" s="166"/>
      <c r="P21" s="166"/>
      <c r="Q21" s="166"/>
      <c r="R21" s="166"/>
      <c r="S21" s="166"/>
      <c r="T21" s="166"/>
      <c r="U21" s="166"/>
      <c r="V21" s="166"/>
      <c r="W21" s="166"/>
      <c r="X21" s="166"/>
      <c r="Y21" s="166"/>
      <c r="Z21" s="166"/>
      <c r="AA21" s="166"/>
      <c r="AB21" s="166"/>
      <c r="AC21" s="166"/>
      <c r="AD21" s="166"/>
      <c r="AE21" s="166"/>
      <c r="AF21" s="166"/>
      <c r="AG21" s="166"/>
      <c r="AH21" s="166"/>
      <c r="AI21" s="166"/>
      <c r="AJ21" s="166"/>
      <c r="AK21" s="166"/>
      <c r="AL21" s="166"/>
      <c r="AM21" s="166"/>
      <c r="AN21" s="166"/>
      <c r="AP21" s="459"/>
    </row>
    <row r="22" ht="15.75" customHeight="1">
      <c r="A22" s="459"/>
      <c r="C22" s="468" t="s">
        <v>268</v>
      </c>
      <c r="D22" s="166"/>
      <c r="E22" s="166"/>
      <c r="F22" s="166"/>
      <c r="G22" s="166"/>
      <c r="H22" s="166"/>
      <c r="I22" s="166"/>
      <c r="J22" s="166"/>
      <c r="K22" s="166"/>
      <c r="L22" s="166"/>
      <c r="M22" s="166"/>
      <c r="N22" s="166"/>
      <c r="O22" s="166"/>
      <c r="P22" s="166"/>
      <c r="Q22" s="166"/>
      <c r="R22" s="166"/>
      <c r="S22" s="166"/>
      <c r="T22" s="166"/>
      <c r="U22" s="166"/>
      <c r="V22" s="166"/>
      <c r="W22" s="166"/>
      <c r="X22" s="166"/>
      <c r="Y22" s="166"/>
      <c r="Z22" s="166"/>
      <c r="AA22" s="166"/>
      <c r="AB22" s="166"/>
      <c r="AC22" s="166"/>
      <c r="AD22" s="166"/>
      <c r="AE22" s="166"/>
      <c r="AF22" s="166"/>
      <c r="AG22" s="166"/>
      <c r="AH22" s="166"/>
      <c r="AI22" s="166"/>
      <c r="AJ22" s="166"/>
      <c r="AK22" s="166"/>
      <c r="AL22" s="166"/>
      <c r="AM22" s="166"/>
      <c r="AN22" s="166"/>
      <c r="AP22" s="459"/>
    </row>
    <row r="23" ht="15.75" customHeight="1">
      <c r="A23" s="459"/>
      <c r="C23" s="463" t="s">
        <v>269</v>
      </c>
      <c r="D23" s="74"/>
      <c r="E23" s="74"/>
      <c r="F23" s="74"/>
      <c r="G23" s="74"/>
      <c r="H23" s="74"/>
      <c r="I23" s="74"/>
      <c r="J23" s="74"/>
      <c r="K23" s="74"/>
      <c r="L23" s="74"/>
      <c r="M23" s="74"/>
      <c r="N23" s="74"/>
      <c r="O23" s="74"/>
      <c r="P23" s="74"/>
      <c r="Q23" s="74"/>
      <c r="R23" s="74"/>
      <c r="S23" s="74"/>
      <c r="T23" s="74"/>
      <c r="U23" s="74"/>
      <c r="V23" s="74"/>
      <c r="W23" s="74"/>
      <c r="X23" s="74"/>
      <c r="Y23" s="74"/>
      <c r="Z23" s="74"/>
      <c r="AA23" s="74"/>
      <c r="AB23" s="74"/>
      <c r="AC23" s="74"/>
      <c r="AD23" s="74"/>
      <c r="AE23" s="74"/>
      <c r="AF23" s="74"/>
      <c r="AG23" s="74"/>
      <c r="AH23" s="74"/>
      <c r="AI23" s="74"/>
      <c r="AJ23" s="74"/>
      <c r="AK23" s="74"/>
      <c r="AL23" s="74"/>
      <c r="AM23" s="74"/>
      <c r="AN23" s="74"/>
      <c r="AP23" s="459"/>
    </row>
    <row r="24" ht="15.75" customHeight="1">
      <c r="A24" s="459"/>
      <c r="C24" s="462"/>
      <c r="D24" s="74"/>
      <c r="E24" s="74"/>
      <c r="F24" s="74"/>
      <c r="G24" s="74"/>
      <c r="H24" s="74"/>
      <c r="I24" s="74"/>
      <c r="J24" s="74"/>
      <c r="K24" s="74"/>
      <c r="L24" s="74"/>
      <c r="M24" s="74"/>
      <c r="N24" s="74"/>
      <c r="O24" s="74"/>
      <c r="P24" s="74"/>
      <c r="Q24" s="74"/>
      <c r="R24" s="74"/>
      <c r="S24" s="74"/>
      <c r="T24" s="74"/>
      <c r="U24" s="74"/>
      <c r="V24" s="74"/>
      <c r="W24" s="74"/>
      <c r="X24" s="74"/>
      <c r="Y24" s="74"/>
      <c r="Z24" s="74"/>
      <c r="AA24" s="74"/>
      <c r="AB24" s="74"/>
      <c r="AC24" s="74"/>
      <c r="AD24" s="74"/>
      <c r="AE24" s="74"/>
      <c r="AF24" s="74"/>
      <c r="AG24" s="74"/>
      <c r="AH24" s="74"/>
      <c r="AI24" s="74"/>
      <c r="AJ24" s="74"/>
      <c r="AK24" s="74"/>
      <c r="AL24" s="74"/>
      <c r="AM24" s="74"/>
      <c r="AN24" s="74"/>
      <c r="AP24" s="459"/>
    </row>
    <row r="25" ht="15.75" customHeight="1">
      <c r="A25" s="459"/>
      <c r="C25" s="469" t="s">
        <v>270</v>
      </c>
      <c r="D25" s="166"/>
      <c r="E25" s="166"/>
      <c r="F25" s="166"/>
      <c r="G25" s="166"/>
      <c r="H25" s="166"/>
      <c r="I25" s="166"/>
      <c r="J25" s="166"/>
      <c r="K25" s="166"/>
      <c r="L25" s="166"/>
      <c r="M25" s="166"/>
      <c r="N25" s="166"/>
      <c r="O25" s="166"/>
      <c r="P25" s="166"/>
      <c r="Q25" s="166"/>
      <c r="R25" s="166"/>
      <c r="S25" s="166"/>
      <c r="T25" s="166"/>
      <c r="U25" s="166"/>
      <c r="V25" s="166"/>
      <c r="W25" s="166"/>
      <c r="X25" s="166"/>
      <c r="Y25" s="166"/>
      <c r="Z25" s="166"/>
      <c r="AA25" s="166"/>
      <c r="AB25" s="166"/>
      <c r="AC25" s="166"/>
      <c r="AD25" s="166"/>
      <c r="AE25" s="166"/>
      <c r="AF25" s="166"/>
      <c r="AG25" s="166"/>
      <c r="AH25" s="166"/>
      <c r="AI25" s="166"/>
      <c r="AJ25" s="166"/>
      <c r="AK25" s="166"/>
      <c r="AL25" s="166"/>
      <c r="AM25" s="166"/>
      <c r="AN25" s="166"/>
      <c r="AP25" s="459"/>
    </row>
    <row r="26" ht="15.75" customHeight="1">
      <c r="A26" s="459"/>
      <c r="C26" s="468" t="s">
        <v>271</v>
      </c>
      <c r="D26" s="166"/>
      <c r="E26" s="166"/>
      <c r="F26" s="166"/>
      <c r="G26" s="166"/>
      <c r="H26" s="166"/>
      <c r="I26" s="166"/>
      <c r="J26" s="166"/>
      <c r="K26" s="166"/>
      <c r="L26" s="166"/>
      <c r="M26" s="166"/>
      <c r="N26" s="166"/>
      <c r="O26" s="166"/>
      <c r="P26" s="166"/>
      <c r="Q26" s="166"/>
      <c r="R26" s="166"/>
      <c r="S26" s="166"/>
      <c r="T26" s="166"/>
      <c r="U26" s="166"/>
      <c r="V26" s="166"/>
      <c r="W26" s="166"/>
      <c r="X26" s="166"/>
      <c r="Y26" s="166"/>
      <c r="Z26" s="166"/>
      <c r="AA26" s="166"/>
      <c r="AB26" s="166"/>
      <c r="AC26" s="166"/>
      <c r="AD26" s="166"/>
      <c r="AE26" s="166"/>
      <c r="AF26" s="166"/>
      <c r="AG26" s="166"/>
      <c r="AH26" s="166"/>
      <c r="AI26" s="166"/>
      <c r="AJ26" s="166"/>
      <c r="AK26" s="166"/>
      <c r="AL26" s="166"/>
      <c r="AM26" s="166"/>
      <c r="AN26" s="166"/>
      <c r="AP26" s="459"/>
    </row>
    <row r="27" ht="15.75" customHeight="1">
      <c r="A27" s="459"/>
      <c r="C27" s="468" t="s">
        <v>272</v>
      </c>
      <c r="D27" s="166"/>
      <c r="E27" s="166"/>
      <c r="F27" s="166"/>
      <c r="G27" s="166"/>
      <c r="H27" s="166"/>
      <c r="I27" s="166"/>
      <c r="J27" s="166"/>
      <c r="K27" s="166"/>
      <c r="L27" s="166"/>
      <c r="M27" s="166"/>
      <c r="N27" s="166"/>
      <c r="O27" s="166"/>
      <c r="P27" s="166"/>
      <c r="Q27" s="166"/>
      <c r="R27" s="166"/>
      <c r="S27" s="166"/>
      <c r="T27" s="166"/>
      <c r="U27" s="166"/>
      <c r="V27" s="166"/>
      <c r="W27" s="166"/>
      <c r="X27" s="166"/>
      <c r="Y27" s="166"/>
      <c r="Z27" s="166"/>
      <c r="AA27" s="166"/>
      <c r="AB27" s="166"/>
      <c r="AC27" s="166"/>
      <c r="AD27" s="166"/>
      <c r="AE27" s="166"/>
      <c r="AF27" s="166"/>
      <c r="AG27" s="166"/>
      <c r="AH27" s="166"/>
      <c r="AI27" s="166"/>
      <c r="AJ27" s="166"/>
      <c r="AK27" s="166"/>
      <c r="AL27" s="166"/>
      <c r="AM27" s="166"/>
      <c r="AN27" s="166"/>
      <c r="AP27" s="459"/>
    </row>
    <row r="28" ht="15.75" customHeight="1">
      <c r="A28" s="459"/>
      <c r="C28" s="468" t="s">
        <v>273</v>
      </c>
      <c r="D28" s="166"/>
      <c r="E28" s="166"/>
      <c r="F28" s="166"/>
      <c r="G28" s="166"/>
      <c r="H28" s="166"/>
      <c r="I28" s="166"/>
      <c r="J28" s="166"/>
      <c r="K28" s="166"/>
      <c r="L28" s="166"/>
      <c r="M28" s="166"/>
      <c r="N28" s="166"/>
      <c r="O28" s="166"/>
      <c r="P28" s="166"/>
      <c r="Q28" s="166"/>
      <c r="R28" s="166"/>
      <c r="S28" s="166"/>
      <c r="T28" s="166"/>
      <c r="U28" s="166"/>
      <c r="V28" s="166"/>
      <c r="W28" s="166"/>
      <c r="X28" s="166"/>
      <c r="Y28" s="166"/>
      <c r="Z28" s="166"/>
      <c r="AA28" s="166"/>
      <c r="AB28" s="166"/>
      <c r="AC28" s="166"/>
      <c r="AD28" s="166"/>
      <c r="AE28" s="166"/>
      <c r="AF28" s="166"/>
      <c r="AG28" s="166"/>
      <c r="AH28" s="166"/>
      <c r="AI28" s="166"/>
      <c r="AJ28" s="166"/>
      <c r="AK28" s="166"/>
      <c r="AL28" s="166"/>
      <c r="AM28" s="166"/>
      <c r="AN28" s="166"/>
      <c r="AP28" s="459"/>
    </row>
    <row r="29" ht="15.75" customHeight="1">
      <c r="A29" s="459"/>
      <c r="C29" s="464"/>
      <c r="D29" s="166"/>
      <c r="E29" s="166"/>
      <c r="F29" s="166"/>
      <c r="G29" s="166"/>
      <c r="H29" s="166"/>
      <c r="I29" s="166"/>
      <c r="J29" s="166"/>
      <c r="K29" s="166"/>
      <c r="L29" s="166"/>
      <c r="M29" s="166"/>
      <c r="N29" s="166"/>
      <c r="O29" s="166"/>
      <c r="P29" s="166"/>
      <c r="Q29" s="166"/>
      <c r="R29" s="166"/>
      <c r="S29" s="166"/>
      <c r="T29" s="166"/>
      <c r="U29" s="166"/>
      <c r="V29" s="166"/>
      <c r="W29" s="166"/>
      <c r="X29" s="166"/>
      <c r="Y29" s="166"/>
      <c r="Z29" s="166"/>
      <c r="AA29" s="166"/>
      <c r="AB29" s="166"/>
      <c r="AC29" s="166"/>
      <c r="AD29" s="166"/>
      <c r="AE29" s="166"/>
      <c r="AF29" s="166"/>
      <c r="AG29" s="166"/>
      <c r="AH29" s="166"/>
      <c r="AI29" s="166"/>
      <c r="AJ29" s="166"/>
      <c r="AK29" s="166"/>
      <c r="AL29" s="166"/>
      <c r="AM29" s="166"/>
      <c r="AN29" s="166"/>
      <c r="AP29" s="459"/>
    </row>
    <row r="30" ht="15.75" customHeight="1">
      <c r="A30" s="459"/>
      <c r="C30" s="466" t="s">
        <v>274</v>
      </c>
      <c r="D30" s="74"/>
      <c r="E30" s="74"/>
      <c r="F30" s="74"/>
      <c r="G30" s="74"/>
      <c r="H30" s="74"/>
      <c r="I30" s="74"/>
      <c r="J30" s="74"/>
      <c r="K30" s="74"/>
      <c r="L30" s="74"/>
      <c r="M30" s="74"/>
      <c r="N30" s="74"/>
      <c r="O30" s="74"/>
      <c r="P30" s="74"/>
      <c r="Q30" s="74"/>
      <c r="R30" s="74"/>
      <c r="S30" s="74"/>
      <c r="T30" s="74"/>
      <c r="U30" s="74"/>
      <c r="V30" s="74"/>
      <c r="W30" s="74"/>
      <c r="X30" s="74"/>
      <c r="Y30" s="74"/>
      <c r="Z30" s="74"/>
      <c r="AA30" s="74"/>
      <c r="AB30" s="74"/>
      <c r="AC30" s="74"/>
      <c r="AD30" s="74"/>
      <c r="AE30" s="74"/>
      <c r="AF30" s="74"/>
      <c r="AG30" s="74"/>
      <c r="AH30" s="74"/>
      <c r="AI30" s="74"/>
      <c r="AJ30" s="74"/>
      <c r="AK30" s="74"/>
      <c r="AL30" s="74"/>
      <c r="AM30" s="74"/>
      <c r="AN30" s="74"/>
      <c r="AP30" s="459"/>
    </row>
    <row r="31" ht="15.75" customHeight="1">
      <c r="A31" s="459"/>
      <c r="C31" s="462" t="s">
        <v>275</v>
      </c>
      <c r="D31" s="74"/>
      <c r="E31" s="74"/>
      <c r="F31" s="74"/>
      <c r="G31" s="74"/>
      <c r="H31" s="74"/>
      <c r="I31" s="74"/>
      <c r="J31" s="74"/>
      <c r="K31" s="74"/>
      <c r="L31" s="74"/>
      <c r="M31" s="74"/>
      <c r="N31" s="74"/>
      <c r="O31" s="74"/>
      <c r="P31" s="74"/>
      <c r="Q31" s="74"/>
      <c r="R31" s="74"/>
      <c r="S31" s="74"/>
      <c r="T31" s="74"/>
      <c r="U31" s="74"/>
      <c r="V31" s="74"/>
      <c r="W31" s="74"/>
      <c r="X31" s="74"/>
      <c r="Y31" s="74"/>
      <c r="Z31" s="74"/>
      <c r="AA31" s="74"/>
      <c r="AB31" s="74"/>
      <c r="AC31" s="74"/>
      <c r="AD31" s="74"/>
      <c r="AE31" s="74"/>
      <c r="AF31" s="74"/>
      <c r="AG31" s="74"/>
      <c r="AH31" s="74"/>
      <c r="AI31" s="74"/>
      <c r="AJ31" s="74"/>
      <c r="AK31" s="74"/>
      <c r="AL31" s="74"/>
      <c r="AM31" s="74"/>
      <c r="AN31" s="74"/>
      <c r="AP31" s="459"/>
    </row>
    <row r="32" ht="15.75" customHeight="1">
      <c r="A32" s="459"/>
      <c r="C32" s="462" t="s">
        <v>276</v>
      </c>
      <c r="D32" s="74"/>
      <c r="E32" s="74"/>
      <c r="F32" s="74"/>
      <c r="G32" s="74"/>
      <c r="H32" s="74"/>
      <c r="I32" s="74"/>
      <c r="J32" s="74"/>
      <c r="K32" s="74"/>
      <c r="L32" s="74"/>
      <c r="M32" s="74"/>
      <c r="N32" s="74"/>
      <c r="O32" s="74"/>
      <c r="P32" s="74"/>
      <c r="Q32" s="74"/>
      <c r="R32" s="74"/>
      <c r="S32" s="74"/>
      <c r="T32" s="74"/>
      <c r="U32" s="74"/>
      <c r="V32" s="74"/>
      <c r="W32" s="74"/>
      <c r="X32" s="74"/>
      <c r="Y32" s="74"/>
      <c r="Z32" s="74"/>
      <c r="AA32" s="74"/>
      <c r="AB32" s="74"/>
      <c r="AC32" s="74"/>
      <c r="AD32" s="74"/>
      <c r="AE32" s="74"/>
      <c r="AF32" s="74"/>
      <c r="AG32" s="74"/>
      <c r="AH32" s="74"/>
      <c r="AI32" s="74"/>
      <c r="AJ32" s="74"/>
      <c r="AK32" s="74"/>
      <c r="AL32" s="74"/>
      <c r="AM32" s="74"/>
      <c r="AN32" s="74"/>
      <c r="AP32" s="459"/>
    </row>
    <row r="33" ht="15.75" customHeight="1">
      <c r="A33" s="459"/>
      <c r="C33" s="462" t="s">
        <v>277</v>
      </c>
      <c r="D33" s="74"/>
      <c r="E33" s="74"/>
      <c r="F33" s="74"/>
      <c r="G33" s="74"/>
      <c r="H33" s="74"/>
      <c r="I33" s="74"/>
      <c r="J33" s="74"/>
      <c r="K33" s="74"/>
      <c r="L33" s="74"/>
      <c r="M33" s="74"/>
      <c r="N33" s="74"/>
      <c r="O33" s="74"/>
      <c r="P33" s="74"/>
      <c r="Q33" s="74"/>
      <c r="R33" s="74"/>
      <c r="S33" s="74"/>
      <c r="T33" s="74"/>
      <c r="U33" s="74"/>
      <c r="V33" s="74"/>
      <c r="W33" s="74"/>
      <c r="X33" s="74"/>
      <c r="Y33" s="74"/>
      <c r="Z33" s="74"/>
      <c r="AA33" s="74"/>
      <c r="AB33" s="74"/>
      <c r="AC33" s="74"/>
      <c r="AD33" s="74"/>
      <c r="AE33" s="74"/>
      <c r="AF33" s="74"/>
      <c r="AG33" s="74"/>
      <c r="AH33" s="74"/>
      <c r="AI33" s="74"/>
      <c r="AJ33" s="74"/>
      <c r="AK33" s="74"/>
      <c r="AL33" s="74"/>
      <c r="AM33" s="74"/>
      <c r="AN33" s="74"/>
      <c r="AP33" s="459"/>
    </row>
    <row r="34" ht="15.75" customHeight="1">
      <c r="A34" s="459"/>
      <c r="B34" s="459" t="str">
        <f>IMAGE("http://i.imgur.com/gbsVPTj.png",4,794,20)</f>
        <v/>
      </c>
      <c r="C34" s="462"/>
      <c r="D34" s="74"/>
      <c r="E34" s="74"/>
      <c r="F34" s="74"/>
      <c r="G34" s="74"/>
      <c r="H34" s="74"/>
      <c r="I34" s="74"/>
      <c r="J34" s="74"/>
      <c r="K34" s="74"/>
      <c r="L34" s="74"/>
      <c r="M34" s="74"/>
      <c r="N34" s="74"/>
      <c r="O34" s="74"/>
      <c r="P34" s="74"/>
      <c r="Q34" s="74"/>
      <c r="R34" s="74"/>
      <c r="S34" s="74"/>
      <c r="T34" s="74"/>
      <c r="U34" s="74"/>
      <c r="V34" s="74"/>
      <c r="W34" s="74"/>
      <c r="X34" s="74"/>
      <c r="Y34" s="74"/>
      <c r="Z34" s="74"/>
      <c r="AA34" s="74"/>
      <c r="AB34" s="74"/>
      <c r="AC34" s="74"/>
      <c r="AD34" s="74"/>
      <c r="AE34" s="74"/>
      <c r="AF34" s="74"/>
      <c r="AG34" s="74"/>
      <c r="AH34" s="74"/>
      <c r="AI34" s="74"/>
      <c r="AJ34" s="74"/>
      <c r="AK34" s="74"/>
      <c r="AL34" s="74"/>
      <c r="AM34" s="74"/>
      <c r="AN34" s="74"/>
      <c r="AP34" s="459"/>
    </row>
    <row r="35" ht="15.75" customHeight="1">
      <c r="A35" s="459"/>
      <c r="C35" s="470" t="s">
        <v>278</v>
      </c>
      <c r="D35" s="74"/>
      <c r="E35" s="74"/>
      <c r="F35" s="74"/>
      <c r="G35" s="74"/>
      <c r="H35" s="74"/>
      <c r="I35" s="74"/>
      <c r="J35" s="74"/>
      <c r="K35" s="74"/>
      <c r="L35" s="74"/>
      <c r="M35" s="74"/>
      <c r="N35" s="74"/>
      <c r="O35" s="74"/>
      <c r="P35" s="74"/>
      <c r="Q35" s="74"/>
      <c r="R35" s="74"/>
      <c r="S35" s="74"/>
      <c r="T35" s="74"/>
      <c r="U35" s="74"/>
      <c r="V35" s="74"/>
      <c r="W35" s="74"/>
      <c r="X35" s="74"/>
      <c r="Y35" s="74"/>
      <c r="Z35" s="74"/>
      <c r="AA35" s="74"/>
      <c r="AB35" s="74"/>
      <c r="AC35" s="74"/>
      <c r="AD35" s="74"/>
      <c r="AE35" s="74"/>
      <c r="AF35" s="74"/>
      <c r="AG35" s="74"/>
      <c r="AH35" s="74"/>
      <c r="AI35" s="74"/>
      <c r="AJ35" s="74"/>
      <c r="AK35" s="74"/>
      <c r="AL35" s="74"/>
      <c r="AM35" s="74"/>
      <c r="AN35" s="74"/>
      <c r="AO35" s="459" t="str">
        <f>IMAGE("http://i.imgur.com/bjRc7Lz.png",4,794,20)</f>
        <v/>
      </c>
      <c r="AP35" s="459"/>
    </row>
    <row r="36" ht="15.75" customHeight="1">
      <c r="A36" s="459"/>
      <c r="C36" s="471" t="s">
        <v>279</v>
      </c>
      <c r="D36" s="166"/>
      <c r="E36" s="166"/>
      <c r="F36" s="166"/>
      <c r="G36" s="166"/>
      <c r="H36" s="166"/>
      <c r="I36" s="166"/>
      <c r="J36" s="166"/>
      <c r="K36" s="166"/>
      <c r="L36" s="166"/>
      <c r="M36" s="166"/>
      <c r="N36" s="166"/>
      <c r="O36" s="166"/>
      <c r="P36" s="166"/>
      <c r="Q36" s="166"/>
      <c r="R36" s="166"/>
      <c r="S36" s="166"/>
      <c r="T36" s="166"/>
      <c r="U36" s="166"/>
      <c r="V36" s="166"/>
      <c r="W36" s="166"/>
      <c r="X36" s="166"/>
      <c r="Y36" s="166"/>
      <c r="Z36" s="166"/>
      <c r="AA36" s="166"/>
      <c r="AB36" s="166"/>
      <c r="AC36" s="166"/>
      <c r="AD36" s="166"/>
      <c r="AE36" s="166"/>
      <c r="AF36" s="166"/>
      <c r="AG36" s="166"/>
      <c r="AH36" s="166"/>
      <c r="AI36" s="166"/>
      <c r="AJ36" s="166"/>
      <c r="AK36" s="166"/>
      <c r="AL36" s="166"/>
      <c r="AM36" s="166"/>
      <c r="AN36" s="166"/>
      <c r="AP36" s="459"/>
    </row>
    <row r="37" ht="15.75" customHeight="1">
      <c r="A37" s="459"/>
      <c r="C37" s="471" t="s">
        <v>280</v>
      </c>
      <c r="D37" s="166"/>
      <c r="E37" s="166"/>
      <c r="F37" s="166"/>
      <c r="G37" s="166"/>
      <c r="H37" s="166"/>
      <c r="I37" s="166"/>
      <c r="J37" s="166"/>
      <c r="K37" s="166"/>
      <c r="L37" s="166"/>
      <c r="M37" s="166"/>
      <c r="N37" s="166"/>
      <c r="O37" s="166"/>
      <c r="P37" s="166"/>
      <c r="Q37" s="166"/>
      <c r="R37" s="166"/>
      <c r="S37" s="166"/>
      <c r="T37" s="166"/>
      <c r="U37" s="166"/>
      <c r="V37" s="166"/>
      <c r="W37" s="166"/>
      <c r="X37" s="166"/>
      <c r="Y37" s="166"/>
      <c r="Z37" s="166"/>
      <c r="AA37" s="166"/>
      <c r="AB37" s="166"/>
      <c r="AC37" s="166"/>
      <c r="AD37" s="166"/>
      <c r="AE37" s="166"/>
      <c r="AF37" s="166"/>
      <c r="AG37" s="166"/>
      <c r="AH37" s="166"/>
      <c r="AI37" s="166"/>
      <c r="AJ37" s="166"/>
      <c r="AK37" s="166"/>
      <c r="AL37" s="166"/>
      <c r="AM37" s="166"/>
      <c r="AN37" s="166"/>
      <c r="AP37" s="459"/>
    </row>
    <row r="38" ht="15.75" customHeight="1">
      <c r="A38" s="459"/>
      <c r="C38" s="471" t="s">
        <v>281</v>
      </c>
      <c r="D38" s="166"/>
      <c r="E38" s="166"/>
      <c r="F38" s="166"/>
      <c r="G38" s="166"/>
      <c r="H38" s="166"/>
      <c r="I38" s="166"/>
      <c r="J38" s="166"/>
      <c r="K38" s="166"/>
      <c r="L38" s="166"/>
      <c r="M38" s="166"/>
      <c r="N38" s="166"/>
      <c r="O38" s="166"/>
      <c r="P38" s="166"/>
      <c r="Q38" s="166"/>
      <c r="R38" s="166"/>
      <c r="S38" s="166"/>
      <c r="T38" s="166"/>
      <c r="U38" s="166"/>
      <c r="V38" s="166"/>
      <c r="W38" s="166"/>
      <c r="X38" s="166"/>
      <c r="Y38" s="166"/>
      <c r="Z38" s="166"/>
      <c r="AA38" s="166"/>
      <c r="AB38" s="166"/>
      <c r="AC38" s="166"/>
      <c r="AD38" s="166"/>
      <c r="AE38" s="166"/>
      <c r="AF38" s="166"/>
      <c r="AG38" s="166"/>
      <c r="AH38" s="166"/>
      <c r="AI38" s="166"/>
      <c r="AJ38" s="166"/>
      <c r="AK38" s="166"/>
      <c r="AL38" s="166"/>
      <c r="AM38" s="166"/>
      <c r="AN38" s="166"/>
      <c r="AP38" s="459"/>
    </row>
    <row r="39" ht="15.75" customHeight="1">
      <c r="A39" s="459"/>
      <c r="C39" s="471" t="s">
        <v>282</v>
      </c>
      <c r="D39" s="166"/>
      <c r="E39" s="166"/>
      <c r="F39" s="166"/>
      <c r="G39" s="166"/>
      <c r="H39" s="166"/>
      <c r="I39" s="166"/>
      <c r="J39" s="166"/>
      <c r="K39" s="166"/>
      <c r="L39" s="166"/>
      <c r="M39" s="166"/>
      <c r="N39" s="166"/>
      <c r="O39" s="166"/>
      <c r="P39" s="166"/>
      <c r="Q39" s="166"/>
      <c r="R39" s="166"/>
      <c r="S39" s="166"/>
      <c r="T39" s="166"/>
      <c r="U39" s="166"/>
      <c r="V39" s="166"/>
      <c r="W39" s="166"/>
      <c r="X39" s="166"/>
      <c r="Y39" s="166"/>
      <c r="Z39" s="166"/>
      <c r="AA39" s="166"/>
      <c r="AB39" s="166"/>
      <c r="AC39" s="166"/>
      <c r="AD39" s="166"/>
      <c r="AE39" s="166"/>
      <c r="AF39" s="166"/>
      <c r="AG39" s="166"/>
      <c r="AH39" s="166"/>
      <c r="AI39" s="166"/>
      <c r="AJ39" s="166"/>
      <c r="AK39" s="166"/>
      <c r="AL39" s="166"/>
      <c r="AM39" s="166"/>
      <c r="AN39" s="166"/>
      <c r="AP39" s="459"/>
    </row>
    <row r="40" ht="15.75" customHeight="1">
      <c r="A40" s="459"/>
      <c r="C40" s="466"/>
      <c r="D40" s="74"/>
      <c r="E40" s="74"/>
      <c r="F40" s="74"/>
      <c r="G40" s="74"/>
      <c r="H40" s="74"/>
      <c r="I40" s="74"/>
      <c r="J40" s="74"/>
      <c r="K40" s="74"/>
      <c r="L40" s="74"/>
      <c r="M40" s="74"/>
      <c r="N40" s="74"/>
      <c r="O40" s="74"/>
      <c r="P40" s="74"/>
      <c r="Q40" s="74"/>
      <c r="R40" s="74"/>
      <c r="S40" s="74"/>
      <c r="T40" s="74"/>
      <c r="U40" s="74"/>
      <c r="V40" s="74"/>
      <c r="W40" s="74"/>
      <c r="X40" s="74"/>
      <c r="Y40" s="74"/>
      <c r="Z40" s="74"/>
      <c r="AA40" s="74"/>
      <c r="AB40" s="74"/>
      <c r="AC40" s="74"/>
      <c r="AD40" s="74"/>
      <c r="AE40" s="74"/>
      <c r="AF40" s="74"/>
      <c r="AG40" s="74"/>
      <c r="AH40" s="74"/>
      <c r="AI40" s="74"/>
      <c r="AJ40" s="74"/>
      <c r="AK40" s="74"/>
      <c r="AL40" s="74"/>
      <c r="AM40" s="74"/>
      <c r="AN40" s="74"/>
      <c r="AP40" s="459"/>
    </row>
    <row r="41" ht="15.75" customHeight="1">
      <c r="A41" s="459"/>
      <c r="C41" s="472" t="s">
        <v>283</v>
      </c>
      <c r="D41" s="166"/>
      <c r="E41" s="166"/>
      <c r="F41" s="166"/>
      <c r="G41" s="166"/>
      <c r="H41" s="166"/>
      <c r="I41" s="166"/>
      <c r="J41" s="166"/>
      <c r="K41" s="166"/>
      <c r="L41" s="166"/>
      <c r="M41" s="166"/>
      <c r="N41" s="166"/>
      <c r="O41" s="166"/>
      <c r="P41" s="166"/>
      <c r="Q41" s="166"/>
      <c r="R41" s="166"/>
      <c r="S41" s="166"/>
      <c r="T41" s="166"/>
      <c r="U41" s="166"/>
      <c r="V41" s="166"/>
      <c r="W41" s="166"/>
      <c r="X41" s="166"/>
      <c r="Y41" s="166"/>
      <c r="Z41" s="166"/>
      <c r="AA41" s="166"/>
      <c r="AB41" s="166"/>
      <c r="AC41" s="166"/>
      <c r="AD41" s="166"/>
      <c r="AE41" s="166"/>
      <c r="AF41" s="166"/>
      <c r="AG41" s="166"/>
      <c r="AH41" s="166"/>
      <c r="AI41" s="166"/>
      <c r="AJ41" s="166"/>
      <c r="AK41" s="166"/>
      <c r="AL41" s="166"/>
      <c r="AM41" s="166"/>
      <c r="AN41" s="166"/>
      <c r="AP41" s="459"/>
    </row>
    <row r="42" ht="15.75" customHeight="1">
      <c r="A42" s="459"/>
      <c r="C42" s="471" t="s">
        <v>284</v>
      </c>
      <c r="D42" s="166"/>
      <c r="E42" s="166"/>
      <c r="F42" s="166"/>
      <c r="G42" s="166"/>
      <c r="H42" s="166"/>
      <c r="I42" s="166"/>
      <c r="J42" s="166"/>
      <c r="K42" s="166"/>
      <c r="L42" s="166"/>
      <c r="M42" s="166"/>
      <c r="N42" s="166"/>
      <c r="O42" s="166"/>
      <c r="P42" s="166"/>
      <c r="Q42" s="166"/>
      <c r="R42" s="166"/>
      <c r="S42" s="166"/>
      <c r="T42" s="166"/>
      <c r="U42" s="166"/>
      <c r="V42" s="166"/>
      <c r="W42" s="166"/>
      <c r="X42" s="166"/>
      <c r="Y42" s="166"/>
      <c r="Z42" s="166"/>
      <c r="AA42" s="166"/>
      <c r="AB42" s="166"/>
      <c r="AC42" s="166"/>
      <c r="AD42" s="166"/>
      <c r="AE42" s="166"/>
      <c r="AF42" s="166"/>
      <c r="AG42" s="166"/>
      <c r="AH42" s="166"/>
      <c r="AI42" s="166"/>
      <c r="AJ42" s="166"/>
      <c r="AK42" s="166"/>
      <c r="AL42" s="166"/>
      <c r="AM42" s="166"/>
      <c r="AN42" s="166"/>
      <c r="AP42" s="459"/>
    </row>
    <row r="43" ht="15.75" customHeight="1">
      <c r="A43" s="459"/>
      <c r="C43" s="471" t="s">
        <v>285</v>
      </c>
      <c r="D43" s="166"/>
      <c r="E43" s="166"/>
      <c r="F43" s="166"/>
      <c r="G43" s="166"/>
      <c r="H43" s="166"/>
      <c r="I43" s="166"/>
      <c r="J43" s="166"/>
      <c r="K43" s="166"/>
      <c r="L43" s="166"/>
      <c r="M43" s="166"/>
      <c r="N43" s="166"/>
      <c r="O43" s="166"/>
      <c r="P43" s="166"/>
      <c r="Q43" s="166"/>
      <c r="R43" s="166"/>
      <c r="S43" s="166"/>
      <c r="T43" s="166"/>
      <c r="U43" s="166"/>
      <c r="V43" s="166"/>
      <c r="W43" s="166"/>
      <c r="X43" s="166"/>
      <c r="Y43" s="166"/>
      <c r="Z43" s="166"/>
      <c r="AA43" s="166"/>
      <c r="AB43" s="166"/>
      <c r="AC43" s="166"/>
      <c r="AD43" s="166"/>
      <c r="AE43" s="166"/>
      <c r="AF43" s="166"/>
      <c r="AG43" s="166"/>
      <c r="AH43" s="166"/>
      <c r="AI43" s="166"/>
      <c r="AJ43" s="166"/>
      <c r="AK43" s="166"/>
      <c r="AL43" s="166"/>
      <c r="AM43" s="166"/>
      <c r="AN43" s="166"/>
      <c r="AP43" s="459"/>
    </row>
    <row r="44" ht="15.75" customHeight="1">
      <c r="A44" s="459"/>
      <c r="C44" s="473"/>
      <c r="D44" s="166"/>
      <c r="E44" s="166"/>
      <c r="F44" s="166"/>
      <c r="G44" s="166"/>
      <c r="H44" s="166"/>
      <c r="I44" s="166"/>
      <c r="J44" s="166"/>
      <c r="K44" s="166"/>
      <c r="L44" s="166"/>
      <c r="M44" s="166"/>
      <c r="N44" s="166"/>
      <c r="O44" s="166"/>
      <c r="P44" s="166"/>
      <c r="Q44" s="166"/>
      <c r="R44" s="166"/>
      <c r="S44" s="166"/>
      <c r="T44" s="166"/>
      <c r="U44" s="166"/>
      <c r="V44" s="166"/>
      <c r="W44" s="166"/>
      <c r="X44" s="166"/>
      <c r="Y44" s="166"/>
      <c r="Z44" s="166"/>
      <c r="AA44" s="166"/>
      <c r="AB44" s="166"/>
      <c r="AC44" s="166"/>
      <c r="AD44" s="166"/>
      <c r="AE44" s="166"/>
      <c r="AF44" s="166"/>
      <c r="AG44" s="166"/>
      <c r="AH44" s="166"/>
      <c r="AI44" s="166"/>
      <c r="AJ44" s="166"/>
      <c r="AK44" s="166"/>
      <c r="AL44" s="166"/>
      <c r="AM44" s="166"/>
      <c r="AN44" s="166"/>
      <c r="AP44" s="459"/>
    </row>
    <row r="45" ht="15.75" customHeight="1">
      <c r="A45" s="459"/>
      <c r="C45" s="466" t="s">
        <v>286</v>
      </c>
      <c r="D45" s="74"/>
      <c r="E45" s="74"/>
      <c r="F45" s="74"/>
      <c r="G45" s="74"/>
      <c r="H45" s="74"/>
      <c r="I45" s="74"/>
      <c r="J45" s="74"/>
      <c r="K45" s="74"/>
      <c r="L45" s="74"/>
      <c r="M45" s="74"/>
      <c r="N45" s="74"/>
      <c r="O45" s="74"/>
      <c r="P45" s="74"/>
      <c r="Q45" s="74"/>
      <c r="R45" s="74"/>
      <c r="S45" s="74"/>
      <c r="T45" s="74"/>
      <c r="U45" s="74"/>
      <c r="V45" s="74"/>
      <c r="W45" s="74"/>
      <c r="X45" s="74"/>
      <c r="Y45" s="74"/>
      <c r="Z45" s="74"/>
      <c r="AA45" s="74"/>
      <c r="AB45" s="74"/>
      <c r="AC45" s="74"/>
      <c r="AD45" s="74"/>
      <c r="AE45" s="74"/>
      <c r="AF45" s="74"/>
      <c r="AG45" s="74"/>
      <c r="AH45" s="74"/>
      <c r="AI45" s="74"/>
      <c r="AJ45" s="74"/>
      <c r="AK45" s="74"/>
      <c r="AL45" s="74"/>
      <c r="AM45" s="74"/>
      <c r="AN45" s="74"/>
      <c r="AP45" s="459"/>
    </row>
    <row r="46" ht="15.75" customHeight="1">
      <c r="A46" s="459"/>
      <c r="C46" s="474" t="s">
        <v>287</v>
      </c>
      <c r="D46" s="74"/>
      <c r="E46" s="74"/>
      <c r="F46" s="74"/>
      <c r="G46" s="74"/>
      <c r="H46" s="74"/>
      <c r="I46" s="74"/>
      <c r="J46" s="74"/>
      <c r="K46" s="74"/>
      <c r="L46" s="74"/>
      <c r="M46" s="74"/>
      <c r="N46" s="74"/>
      <c r="O46" s="74"/>
      <c r="P46" s="74"/>
      <c r="Q46" s="74"/>
      <c r="R46" s="74"/>
      <c r="S46" s="74"/>
      <c r="T46" s="74"/>
      <c r="U46" s="74"/>
      <c r="V46" s="74"/>
      <c r="W46" s="74"/>
      <c r="X46" s="74"/>
      <c r="Y46" s="74"/>
      <c r="Z46" s="74"/>
      <c r="AA46" s="74"/>
      <c r="AB46" s="74"/>
      <c r="AC46" s="74"/>
      <c r="AD46" s="74"/>
      <c r="AE46" s="74"/>
      <c r="AF46" s="74"/>
      <c r="AG46" s="74"/>
      <c r="AH46" s="74"/>
      <c r="AI46" s="74"/>
      <c r="AJ46" s="74"/>
      <c r="AK46" s="74"/>
      <c r="AL46" s="74"/>
      <c r="AM46" s="74"/>
      <c r="AN46" s="74"/>
      <c r="AP46" s="459"/>
    </row>
    <row r="47" ht="15.75" customHeight="1">
      <c r="A47" s="459"/>
      <c r="C47" s="474" t="s">
        <v>288</v>
      </c>
      <c r="D47" s="74"/>
      <c r="E47" s="74"/>
      <c r="F47" s="74"/>
      <c r="G47" s="74"/>
      <c r="H47" s="74"/>
      <c r="I47" s="74"/>
      <c r="J47" s="74"/>
      <c r="K47" s="74"/>
      <c r="L47" s="74"/>
      <c r="M47" s="74"/>
      <c r="N47" s="74"/>
      <c r="O47" s="74"/>
      <c r="P47" s="74"/>
      <c r="Q47" s="74"/>
      <c r="R47" s="74"/>
      <c r="S47" s="74"/>
      <c r="T47" s="74"/>
      <c r="U47" s="74"/>
      <c r="V47" s="74"/>
      <c r="W47" s="74"/>
      <c r="X47" s="74"/>
      <c r="Y47" s="74"/>
      <c r="Z47" s="74"/>
      <c r="AA47" s="74"/>
      <c r="AB47" s="74"/>
      <c r="AC47" s="74"/>
      <c r="AD47" s="74"/>
      <c r="AE47" s="74"/>
      <c r="AF47" s="74"/>
      <c r="AG47" s="74"/>
      <c r="AH47" s="74"/>
      <c r="AI47" s="74"/>
      <c r="AJ47" s="74"/>
      <c r="AK47" s="74"/>
      <c r="AL47" s="74"/>
      <c r="AM47" s="74"/>
      <c r="AN47" s="74"/>
      <c r="AP47" s="459"/>
    </row>
    <row r="48" ht="15.75" customHeight="1">
      <c r="A48" s="459"/>
      <c r="C48" s="474"/>
      <c r="D48" s="74"/>
      <c r="E48" s="74"/>
      <c r="F48" s="74"/>
      <c r="G48" s="74"/>
      <c r="H48" s="74"/>
      <c r="I48" s="74"/>
      <c r="J48" s="74"/>
      <c r="K48" s="74"/>
      <c r="L48" s="74"/>
      <c r="M48" s="74"/>
      <c r="N48" s="74"/>
      <c r="O48" s="74"/>
      <c r="P48" s="74"/>
      <c r="Q48" s="74"/>
      <c r="R48" s="74"/>
      <c r="S48" s="74"/>
      <c r="T48" s="74"/>
      <c r="U48" s="74"/>
      <c r="V48" s="74"/>
      <c r="W48" s="74"/>
      <c r="X48" s="74"/>
      <c r="Y48" s="74"/>
      <c r="Z48" s="74"/>
      <c r="AA48" s="74"/>
      <c r="AB48" s="74"/>
      <c r="AC48" s="74"/>
      <c r="AD48" s="74"/>
      <c r="AE48" s="74"/>
      <c r="AF48" s="74"/>
      <c r="AG48" s="74"/>
      <c r="AH48" s="74"/>
      <c r="AI48" s="74"/>
      <c r="AJ48" s="74"/>
      <c r="AK48" s="74"/>
      <c r="AL48" s="74"/>
      <c r="AM48" s="74"/>
      <c r="AN48" s="74"/>
      <c r="AP48" s="459"/>
    </row>
    <row r="49" ht="15.75" customHeight="1">
      <c r="A49" s="459"/>
      <c r="C49" s="462"/>
      <c r="D49" s="74"/>
      <c r="E49" s="74"/>
      <c r="F49" s="74"/>
      <c r="G49" s="74"/>
      <c r="H49" s="74"/>
      <c r="I49" s="74"/>
      <c r="J49" s="74"/>
      <c r="K49" s="74"/>
      <c r="L49" s="74"/>
      <c r="M49" s="74"/>
      <c r="N49" s="74"/>
      <c r="O49" s="74"/>
      <c r="P49" s="74"/>
      <c r="Q49" s="74"/>
      <c r="R49" s="74"/>
      <c r="S49" s="74"/>
      <c r="T49" s="74"/>
      <c r="U49" s="74"/>
      <c r="V49" s="74"/>
      <c r="W49" s="74"/>
      <c r="X49" s="74"/>
      <c r="Y49" s="74"/>
      <c r="Z49" s="74"/>
      <c r="AA49" s="74"/>
      <c r="AB49" s="74"/>
      <c r="AC49" s="74"/>
      <c r="AD49" s="74"/>
      <c r="AE49" s="74"/>
      <c r="AF49" s="74"/>
      <c r="AG49" s="74"/>
      <c r="AH49" s="74"/>
      <c r="AI49" s="74"/>
      <c r="AJ49" s="74"/>
      <c r="AK49" s="74"/>
      <c r="AL49" s="74"/>
      <c r="AM49" s="74"/>
      <c r="AN49" s="74"/>
      <c r="AP49" s="459"/>
    </row>
    <row r="50" ht="15.75" customHeight="1">
      <c r="A50" s="459"/>
      <c r="C50" s="462"/>
      <c r="D50" s="74"/>
      <c r="E50" s="74"/>
      <c r="F50" s="74"/>
      <c r="G50" s="74"/>
      <c r="H50" s="74"/>
      <c r="I50" s="74"/>
      <c r="J50" s="74"/>
      <c r="K50" s="74"/>
      <c r="L50" s="74"/>
      <c r="M50" s="74"/>
      <c r="N50" s="74"/>
      <c r="O50" s="74"/>
      <c r="P50" s="74"/>
      <c r="Q50" s="74"/>
      <c r="R50" s="74"/>
      <c r="S50" s="74"/>
      <c r="T50" s="74"/>
      <c r="U50" s="74"/>
      <c r="V50" s="74"/>
      <c r="W50" s="74"/>
      <c r="X50" s="74"/>
      <c r="Y50" s="74"/>
      <c r="Z50" s="74"/>
      <c r="AA50" s="74"/>
      <c r="AB50" s="74"/>
      <c r="AC50" s="74"/>
      <c r="AD50" s="74"/>
      <c r="AE50" s="74"/>
      <c r="AF50" s="74"/>
      <c r="AG50" s="74"/>
      <c r="AH50" s="74"/>
      <c r="AI50" s="74"/>
      <c r="AJ50" s="74"/>
      <c r="AK50" s="74"/>
      <c r="AL50" s="74"/>
      <c r="AM50" s="74"/>
      <c r="AN50" s="74"/>
      <c r="AP50" s="459"/>
    </row>
    <row r="51" ht="15.75" customHeight="1">
      <c r="A51" s="459"/>
      <c r="C51" s="466" t="s">
        <v>289</v>
      </c>
      <c r="D51" s="74"/>
      <c r="E51" s="74"/>
      <c r="F51" s="74"/>
      <c r="G51" s="74"/>
      <c r="H51" s="74"/>
      <c r="I51" s="74"/>
      <c r="J51" s="74"/>
      <c r="K51" s="74"/>
      <c r="L51" s="74"/>
      <c r="M51" s="74"/>
      <c r="N51" s="74"/>
      <c r="O51" s="74"/>
      <c r="P51" s="74"/>
      <c r="Q51" s="74"/>
      <c r="R51" s="74"/>
      <c r="S51" s="74"/>
      <c r="T51" s="74"/>
      <c r="U51" s="74"/>
      <c r="V51" s="74"/>
      <c r="W51" s="74"/>
      <c r="X51" s="74"/>
      <c r="Y51" s="74"/>
      <c r="Z51" s="74"/>
      <c r="AA51" s="74"/>
      <c r="AB51" s="74"/>
      <c r="AC51" s="74"/>
      <c r="AD51" s="74"/>
      <c r="AE51" s="74"/>
      <c r="AF51" s="74"/>
      <c r="AG51" s="74"/>
      <c r="AH51" s="74"/>
      <c r="AI51" s="74"/>
      <c r="AJ51" s="74"/>
      <c r="AK51" s="74"/>
      <c r="AL51" s="74"/>
      <c r="AM51" s="74"/>
      <c r="AN51" s="74"/>
      <c r="AP51" s="459"/>
    </row>
    <row r="52" ht="15.75" customHeight="1">
      <c r="A52" s="459"/>
      <c r="C52" s="462" t="s">
        <v>290</v>
      </c>
      <c r="D52" s="74"/>
      <c r="E52" s="74"/>
      <c r="F52" s="74"/>
      <c r="G52" s="74"/>
      <c r="H52" s="74"/>
      <c r="I52" s="74"/>
      <c r="J52" s="74"/>
      <c r="K52" s="74"/>
      <c r="L52" s="74"/>
      <c r="M52" s="74"/>
      <c r="N52" s="74"/>
      <c r="O52" s="74"/>
      <c r="P52" s="74"/>
      <c r="Q52" s="74"/>
      <c r="R52" s="74"/>
      <c r="S52" s="74"/>
      <c r="T52" s="74"/>
      <c r="U52" s="74"/>
      <c r="V52" s="74"/>
      <c r="W52" s="74"/>
      <c r="X52" s="74"/>
      <c r="Y52" s="74"/>
      <c r="Z52" s="74"/>
      <c r="AA52" s="74"/>
      <c r="AB52" s="74"/>
      <c r="AC52" s="74"/>
      <c r="AD52" s="74"/>
      <c r="AE52" s="74"/>
      <c r="AF52" s="74"/>
      <c r="AG52" s="74"/>
      <c r="AH52" s="74"/>
      <c r="AI52" s="74"/>
      <c r="AJ52" s="74"/>
      <c r="AK52" s="74"/>
      <c r="AL52" s="74"/>
      <c r="AM52" s="74"/>
      <c r="AN52" s="74"/>
      <c r="AP52" s="459"/>
    </row>
    <row r="53" ht="15.75" customHeight="1">
      <c r="A53" s="459"/>
      <c r="C53" s="462"/>
      <c r="D53" s="74"/>
      <c r="E53" s="74"/>
      <c r="F53" s="74"/>
      <c r="G53" s="74"/>
      <c r="H53" s="74"/>
      <c r="I53" s="74"/>
      <c r="J53" s="74"/>
      <c r="K53" s="74"/>
      <c r="L53" s="74"/>
      <c r="M53" s="74"/>
      <c r="N53" s="74"/>
      <c r="O53" s="74"/>
      <c r="P53" s="74"/>
      <c r="Q53" s="74"/>
      <c r="R53" s="74"/>
      <c r="S53" s="74"/>
      <c r="T53" s="74"/>
      <c r="U53" s="74"/>
      <c r="V53" s="74"/>
      <c r="W53" s="74"/>
      <c r="X53" s="74"/>
      <c r="Y53" s="74"/>
      <c r="Z53" s="74"/>
      <c r="AA53" s="74"/>
      <c r="AB53" s="74"/>
      <c r="AC53" s="74"/>
      <c r="AD53" s="74"/>
      <c r="AE53" s="74"/>
      <c r="AF53" s="74"/>
      <c r="AG53" s="74"/>
      <c r="AH53" s="74"/>
      <c r="AI53" s="74"/>
      <c r="AJ53" s="74"/>
      <c r="AK53" s="74"/>
      <c r="AL53" s="74"/>
      <c r="AM53" s="74"/>
      <c r="AN53" s="74"/>
      <c r="AP53" s="459"/>
    </row>
    <row r="54" ht="15.75" customHeight="1">
      <c r="A54" s="459"/>
      <c r="C54" s="475" t="s">
        <v>291</v>
      </c>
      <c r="D54" s="74"/>
      <c r="E54" s="74"/>
      <c r="F54" s="74"/>
      <c r="G54" s="74"/>
      <c r="H54" s="74"/>
      <c r="I54" s="74"/>
      <c r="J54" s="74"/>
      <c r="K54" s="74"/>
      <c r="L54" s="74"/>
      <c r="M54" s="74"/>
      <c r="N54" s="74"/>
      <c r="O54" s="74"/>
      <c r="P54" s="74"/>
      <c r="Q54" s="74"/>
      <c r="R54" s="74"/>
      <c r="S54" s="74"/>
      <c r="T54" s="74"/>
      <c r="U54" s="74"/>
      <c r="V54" s="74"/>
      <c r="W54" s="74"/>
      <c r="X54" s="74"/>
      <c r="Y54" s="74"/>
      <c r="Z54" s="74"/>
      <c r="AA54" s="74"/>
      <c r="AB54" s="74"/>
      <c r="AC54" s="74"/>
      <c r="AD54" s="74"/>
      <c r="AE54" s="74"/>
      <c r="AF54" s="74"/>
      <c r="AG54" s="74"/>
      <c r="AH54" s="74"/>
      <c r="AI54" s="74"/>
      <c r="AJ54" s="74"/>
      <c r="AK54" s="74"/>
      <c r="AL54" s="74"/>
      <c r="AM54" s="74"/>
      <c r="AN54" s="74"/>
      <c r="AP54" s="459"/>
    </row>
    <row r="55" ht="15.75" customHeight="1">
      <c r="A55" s="459"/>
      <c r="C55" s="474" t="s">
        <v>292</v>
      </c>
      <c r="D55" s="74"/>
      <c r="E55" s="74"/>
      <c r="F55" s="74"/>
      <c r="G55" s="74"/>
      <c r="H55" s="74"/>
      <c r="I55" s="74"/>
      <c r="J55" s="74"/>
      <c r="K55" s="74"/>
      <c r="L55" s="74"/>
      <c r="M55" s="74"/>
      <c r="N55" s="74"/>
      <c r="O55" s="74"/>
      <c r="P55" s="74"/>
      <c r="Q55" s="74"/>
      <c r="R55" s="74"/>
      <c r="S55" s="74"/>
      <c r="T55" s="74"/>
      <c r="U55" s="74"/>
      <c r="V55" s="74"/>
      <c r="W55" s="74"/>
      <c r="X55" s="74"/>
      <c r="Y55" s="74"/>
      <c r="Z55" s="74"/>
      <c r="AA55" s="74"/>
      <c r="AB55" s="74"/>
      <c r="AC55" s="74"/>
      <c r="AD55" s="74"/>
      <c r="AE55" s="74"/>
      <c r="AF55" s="74"/>
      <c r="AG55" s="74"/>
      <c r="AH55" s="74"/>
      <c r="AI55" s="74"/>
      <c r="AJ55" s="74"/>
      <c r="AK55" s="74"/>
      <c r="AL55" s="74"/>
      <c r="AM55" s="74"/>
      <c r="AN55" s="74"/>
      <c r="AP55" s="459"/>
    </row>
    <row r="56" ht="15.75" customHeight="1">
      <c r="A56" s="459"/>
      <c r="C56" s="462"/>
      <c r="D56" s="74"/>
      <c r="E56" s="74"/>
      <c r="F56" s="74"/>
      <c r="G56" s="74"/>
      <c r="H56" s="74"/>
      <c r="I56" s="74"/>
      <c r="J56" s="74"/>
      <c r="K56" s="74"/>
      <c r="L56" s="74"/>
      <c r="M56" s="74"/>
      <c r="N56" s="74"/>
      <c r="O56" s="74"/>
      <c r="P56" s="74"/>
      <c r="Q56" s="74"/>
      <c r="R56" s="74"/>
      <c r="S56" s="74"/>
      <c r="T56" s="74"/>
      <c r="U56" s="74"/>
      <c r="V56" s="74"/>
      <c r="W56" s="74"/>
      <c r="X56" s="74"/>
      <c r="Y56" s="74"/>
      <c r="Z56" s="74"/>
      <c r="AA56" s="74"/>
      <c r="AB56" s="74"/>
      <c r="AC56" s="74"/>
      <c r="AD56" s="74"/>
      <c r="AE56" s="74"/>
      <c r="AF56" s="74"/>
      <c r="AG56" s="74"/>
      <c r="AH56" s="74"/>
      <c r="AI56" s="74"/>
      <c r="AJ56" s="74"/>
      <c r="AK56" s="74"/>
      <c r="AL56" s="74"/>
      <c r="AM56" s="74"/>
      <c r="AN56" s="74"/>
      <c r="AP56" s="459"/>
    </row>
    <row r="57" ht="15.75" customHeight="1">
      <c r="A57" s="459"/>
      <c r="C57" s="476"/>
      <c r="D57" s="16"/>
      <c r="E57" s="16"/>
      <c r="F57" s="16"/>
      <c r="G57" s="16"/>
      <c r="H57" s="16"/>
      <c r="I57" s="16"/>
      <c r="J57" s="16"/>
      <c r="K57" s="16"/>
      <c r="L57" s="16"/>
      <c r="M57" s="16"/>
      <c r="N57" s="16"/>
      <c r="O57" s="16"/>
      <c r="P57" s="16"/>
      <c r="Q57" s="16"/>
      <c r="R57" s="16"/>
      <c r="S57" s="16"/>
      <c r="T57" s="16"/>
      <c r="U57" s="16"/>
      <c r="V57" s="16"/>
      <c r="W57" s="16"/>
      <c r="X57" s="16"/>
      <c r="Y57" s="16"/>
      <c r="Z57" s="16"/>
      <c r="AA57" s="16"/>
      <c r="AB57" s="16"/>
      <c r="AC57" s="16"/>
      <c r="AD57" s="16"/>
      <c r="AE57" s="16"/>
      <c r="AF57" s="16"/>
      <c r="AG57" s="16"/>
      <c r="AH57" s="16"/>
      <c r="AI57" s="16"/>
      <c r="AJ57" s="16"/>
      <c r="AK57" s="16"/>
      <c r="AL57" s="16"/>
      <c r="AM57" s="16"/>
      <c r="AN57" s="16"/>
      <c r="AP57" s="459"/>
    </row>
    <row r="58" ht="15.75" customHeight="1">
      <c r="A58" s="459"/>
      <c r="C58" s="477" t="s">
        <v>293</v>
      </c>
      <c r="D58" s="31"/>
      <c r="E58" s="31"/>
      <c r="F58" s="31"/>
      <c r="G58" s="31"/>
      <c r="H58" s="31"/>
      <c r="I58" s="31"/>
      <c r="J58" s="31"/>
      <c r="K58" s="31"/>
      <c r="L58" s="31"/>
      <c r="M58" s="31"/>
      <c r="N58" s="31"/>
      <c r="O58" s="31"/>
      <c r="P58" s="31"/>
      <c r="Q58" s="31"/>
      <c r="R58" s="31"/>
      <c r="S58" s="31"/>
      <c r="T58" s="31"/>
      <c r="U58" s="31"/>
      <c r="V58" s="31"/>
      <c r="W58" s="31"/>
      <c r="X58" s="31"/>
      <c r="Y58" s="31"/>
      <c r="Z58" s="31"/>
      <c r="AA58" s="31"/>
      <c r="AB58" s="31"/>
      <c r="AC58" s="31"/>
      <c r="AD58" s="31"/>
      <c r="AE58" s="31"/>
      <c r="AF58" s="31"/>
      <c r="AG58" s="31"/>
      <c r="AH58" s="31"/>
      <c r="AI58" s="31"/>
      <c r="AJ58" s="31"/>
      <c r="AK58" s="31"/>
      <c r="AL58" s="31"/>
      <c r="AM58" s="31"/>
      <c r="AN58" s="31"/>
      <c r="AP58" s="459"/>
    </row>
    <row r="59" ht="15.75" customHeight="1">
      <c r="A59" s="459"/>
      <c r="C59" s="478"/>
      <c r="D59" s="478"/>
      <c r="E59" s="459"/>
      <c r="F59" s="459"/>
      <c r="G59" s="459"/>
      <c r="H59" s="479"/>
      <c r="I59" s="478"/>
      <c r="J59" s="459"/>
      <c r="K59" s="459"/>
      <c r="L59" s="459"/>
      <c r="M59" s="459"/>
      <c r="N59" s="459"/>
      <c r="O59" s="459"/>
      <c r="P59" s="459"/>
      <c r="Q59" s="459"/>
      <c r="R59" s="459"/>
      <c r="S59" s="459"/>
      <c r="T59" s="459"/>
      <c r="U59" s="459"/>
      <c r="V59" s="459"/>
      <c r="W59" s="459"/>
      <c r="X59" s="459"/>
      <c r="Y59" s="459"/>
      <c r="Z59" s="459"/>
      <c r="AA59" s="459"/>
      <c r="AB59" s="459"/>
      <c r="AC59" s="459"/>
      <c r="AD59" s="459"/>
      <c r="AE59" s="459"/>
      <c r="AF59" s="459"/>
      <c r="AG59" s="459"/>
      <c r="AH59" s="459"/>
      <c r="AI59" s="459"/>
      <c r="AJ59" s="459"/>
      <c r="AK59" s="459"/>
      <c r="AL59" s="459"/>
      <c r="AM59" s="459"/>
      <c r="AN59" s="459"/>
      <c r="AP59" s="459"/>
    </row>
    <row r="60" ht="15.75" customHeight="1">
      <c r="A60" s="459"/>
      <c r="B60" s="147" t="str">
        <f>IMAGE("http://i.imgur.com/nNYHkLk.png",2)</f>
        <v/>
      </c>
      <c r="C60" s="187" t="str">
        <f>IMAGE("https://i.imgur.com/IxRRFOd.png",4, 20, 251)</f>
        <v/>
      </c>
      <c r="O60" s="147" t="str">
        <f>IMAGE("https://i.imgur.com/RzcHHl9.png",2)</f>
        <v/>
      </c>
      <c r="P60" s="459" t="s">
        <v>294</v>
      </c>
      <c r="Q60" s="459"/>
      <c r="R60" s="459"/>
      <c r="S60" s="459"/>
      <c r="T60" s="459"/>
      <c r="U60" s="459"/>
      <c r="V60" s="459"/>
      <c r="W60" s="459"/>
      <c r="X60" s="459"/>
      <c r="Y60" s="459"/>
      <c r="Z60" s="459"/>
      <c r="AA60" s="459"/>
      <c r="AB60" s="459"/>
      <c r="AC60" s="459"/>
      <c r="AD60" s="459"/>
      <c r="AE60" s="459"/>
      <c r="AF60" s="459"/>
      <c r="AG60" s="459"/>
      <c r="AH60" s="459"/>
      <c r="AI60" s="459"/>
      <c r="AJ60" s="459"/>
      <c r="AK60" s="459"/>
      <c r="AL60" s="459"/>
      <c r="AM60" s="459"/>
      <c r="AN60" s="459"/>
      <c r="AO60" s="459"/>
      <c r="AP60" s="459"/>
    </row>
    <row r="61" ht="15.75" customHeight="1">
      <c r="A61" s="459"/>
      <c r="C61" s="480" t="s">
        <v>55</v>
      </c>
      <c r="D61" s="70"/>
      <c r="E61" s="481"/>
      <c r="F61" s="70"/>
      <c r="G61" s="70"/>
      <c r="H61" s="70"/>
      <c r="I61" s="70"/>
      <c r="J61" s="70"/>
      <c r="K61" s="70"/>
      <c r="L61" s="70"/>
      <c r="M61" s="482"/>
      <c r="N61" s="70"/>
      <c r="P61" s="459" t="s">
        <v>295</v>
      </c>
      <c r="Q61" s="459"/>
      <c r="R61" s="459"/>
      <c r="S61" s="459"/>
      <c r="T61" s="459"/>
      <c r="U61" s="459"/>
      <c r="V61" s="459"/>
      <c r="W61" s="459"/>
      <c r="X61" s="459"/>
      <c r="Y61" s="459"/>
      <c r="Z61" s="459"/>
      <c r="AA61" s="459"/>
      <c r="AB61" s="459"/>
      <c r="AC61" s="459"/>
      <c r="AD61" s="459"/>
      <c r="AE61" s="459"/>
      <c r="AF61" s="459"/>
      <c r="AG61" s="459"/>
      <c r="AH61" s="459"/>
      <c r="AI61" s="459"/>
      <c r="AJ61" s="459"/>
      <c r="AK61" s="459"/>
      <c r="AL61" s="459"/>
      <c r="AM61" s="459"/>
      <c r="AN61" s="459"/>
      <c r="AO61" s="459"/>
      <c r="AP61" s="459"/>
    </row>
    <row r="62" ht="15.75" customHeight="1">
      <c r="A62" s="459"/>
      <c r="C62" s="483" t="s">
        <v>16</v>
      </c>
      <c r="D62" s="484"/>
      <c r="F62" s="483" t="s">
        <v>11</v>
      </c>
      <c r="G62" s="484"/>
      <c r="I62" s="485" t="s">
        <v>244</v>
      </c>
      <c r="J62" s="486"/>
      <c r="K62" s="483" t="s">
        <v>296</v>
      </c>
      <c r="M62" s="487"/>
      <c r="N62" s="488"/>
      <c r="P62" s="459"/>
      <c r="Q62" s="459"/>
      <c r="R62" s="459"/>
      <c r="S62" s="459"/>
      <c r="T62" s="459"/>
      <c r="U62" s="459"/>
      <c r="V62" s="459"/>
      <c r="W62" s="459"/>
      <c r="X62" s="459"/>
      <c r="Y62" s="459"/>
      <c r="Z62" s="459"/>
      <c r="AA62" s="459"/>
      <c r="AB62" s="459"/>
      <c r="AC62" s="459"/>
      <c r="AD62" s="459"/>
      <c r="AE62" s="459"/>
      <c r="AF62" s="459"/>
      <c r="AG62" s="459"/>
      <c r="AH62" s="459"/>
      <c r="AI62" s="459"/>
      <c r="AJ62" s="459"/>
      <c r="AK62" s="459"/>
      <c r="AL62" s="459"/>
      <c r="AM62" s="459"/>
      <c r="AN62" s="459"/>
      <c r="AO62" s="459"/>
      <c r="AP62" s="459"/>
    </row>
    <row r="63" ht="15.75" customHeight="1">
      <c r="A63" s="459"/>
      <c r="C63" s="489" t="s">
        <v>14</v>
      </c>
      <c r="D63" s="490"/>
      <c r="E63" s="491" t="s">
        <v>21</v>
      </c>
      <c r="F63" s="492"/>
      <c r="G63" s="493" t="s">
        <v>30</v>
      </c>
      <c r="H63" s="494"/>
      <c r="I63" s="493" t="s">
        <v>41</v>
      </c>
      <c r="J63" s="494"/>
      <c r="K63" s="491" t="s">
        <v>58</v>
      </c>
      <c r="L63" s="492"/>
      <c r="M63" s="489" t="s">
        <v>68</v>
      </c>
      <c r="N63" s="490"/>
      <c r="P63" s="459"/>
      <c r="Q63" s="459"/>
      <c r="R63" s="459"/>
      <c r="S63" s="459"/>
      <c r="T63" s="459"/>
      <c r="U63" s="459"/>
      <c r="V63" s="459"/>
      <c r="W63" s="459"/>
      <c r="X63" s="459"/>
      <c r="Y63" s="459"/>
      <c r="Z63" s="459"/>
      <c r="AA63" s="459"/>
      <c r="AB63" s="459"/>
      <c r="AC63" s="459"/>
      <c r="AD63" s="459"/>
      <c r="AE63" s="459"/>
      <c r="AF63" s="459"/>
      <c r="AG63" s="459"/>
      <c r="AH63" s="459"/>
      <c r="AI63" s="459"/>
      <c r="AJ63" s="459"/>
      <c r="AK63" s="459"/>
      <c r="AL63" s="459"/>
      <c r="AM63" s="459"/>
      <c r="AN63" s="459"/>
      <c r="AO63" s="459"/>
      <c r="AP63" s="459"/>
    </row>
    <row r="64" ht="15.75" customHeight="1">
      <c r="A64" s="459"/>
      <c r="C64" s="495"/>
      <c r="D64" s="496" t="str">
        <f>if(C64="","(   )",INT((C64-10)/2))</f>
        <v>(   )</v>
      </c>
      <c r="E64" s="497"/>
      <c r="F64" s="498" t="str">
        <f>if(E64="","(   )",INT((E64-10)/2))</f>
        <v>(   )</v>
      </c>
      <c r="G64" s="499"/>
      <c r="H64" s="500" t="str">
        <f>if(G64="","(   )",INT((G64-10)/2))</f>
        <v>(   )</v>
      </c>
      <c r="I64" s="499"/>
      <c r="J64" s="500" t="str">
        <f>if(I64="","(   )",INT((I64-10)/2))</f>
        <v>(   )</v>
      </c>
      <c r="K64" s="497"/>
      <c r="L64" s="498" t="str">
        <f>if(K64="","(   )",INT((K64-10)/2))</f>
        <v>(   )</v>
      </c>
      <c r="M64" s="495"/>
      <c r="N64" s="496" t="str">
        <f>if(M64="","(   )",INT((M64-10)/2))</f>
        <v>(   )</v>
      </c>
      <c r="P64" s="501" t="s">
        <v>297</v>
      </c>
      <c r="Q64" s="459"/>
      <c r="R64" s="459"/>
      <c r="S64" s="459"/>
      <c r="T64" s="459"/>
      <c r="U64" s="459"/>
      <c r="V64" s="459"/>
      <c r="W64" s="459"/>
      <c r="X64" s="459"/>
      <c r="Y64" s="459"/>
      <c r="Z64" s="459"/>
      <c r="AA64" s="459"/>
      <c r="AB64" s="459"/>
      <c r="AC64" s="459"/>
      <c r="AD64" s="459"/>
      <c r="AE64" s="459"/>
      <c r="AF64" s="459"/>
      <c r="AG64" s="459"/>
      <c r="AH64" s="459"/>
      <c r="AI64" s="459"/>
      <c r="AJ64" s="459"/>
      <c r="AK64" s="459"/>
      <c r="AL64" s="459"/>
      <c r="AM64" s="459"/>
      <c r="AN64" s="459"/>
      <c r="AO64" s="459"/>
      <c r="AP64" s="459"/>
    </row>
    <row r="65" ht="15.75" customHeight="1">
      <c r="A65" s="459"/>
      <c r="C65" s="191"/>
      <c r="D65" s="166"/>
      <c r="E65" s="166"/>
      <c r="F65" s="166"/>
      <c r="G65" s="166"/>
      <c r="H65" s="166"/>
      <c r="I65" s="166"/>
      <c r="J65" s="166"/>
      <c r="K65" s="166"/>
      <c r="L65" s="166"/>
      <c r="M65" s="166"/>
      <c r="N65" s="166"/>
      <c r="P65" s="501" t="s">
        <v>298</v>
      </c>
      <c r="Q65" s="459"/>
      <c r="R65" s="459"/>
      <c r="S65" s="459"/>
      <c r="T65" s="459"/>
      <c r="U65" s="459"/>
      <c r="V65" s="459"/>
      <c r="W65" s="459"/>
      <c r="X65" s="459"/>
      <c r="Y65" s="459"/>
      <c r="Z65" s="459"/>
      <c r="AA65" s="459"/>
      <c r="AB65" s="459"/>
      <c r="AC65" s="459"/>
      <c r="AD65" s="459"/>
      <c r="AE65" s="459"/>
      <c r="AF65" s="459"/>
      <c r="AG65" s="459"/>
      <c r="AH65" s="459"/>
      <c r="AI65" s="459"/>
      <c r="AJ65" s="459"/>
      <c r="AK65" s="459"/>
      <c r="AL65" s="459"/>
      <c r="AM65" s="459"/>
      <c r="AN65" s="459"/>
      <c r="AO65" s="459"/>
      <c r="AP65" s="459"/>
    </row>
    <row r="66" ht="15.75" customHeight="1">
      <c r="A66" s="459"/>
      <c r="C66" s="191"/>
      <c r="D66" s="166"/>
      <c r="E66" s="166"/>
      <c r="F66" s="166"/>
      <c r="G66" s="166"/>
      <c r="H66" s="166"/>
      <c r="I66" s="166"/>
      <c r="J66" s="166"/>
      <c r="K66" s="166"/>
      <c r="L66" s="166"/>
      <c r="M66" s="166"/>
      <c r="N66" s="166"/>
      <c r="P66" s="501" t="s">
        <v>299</v>
      </c>
      <c r="Q66" s="459"/>
      <c r="R66" s="459"/>
      <c r="S66" s="459"/>
      <c r="T66" s="459"/>
      <c r="U66" s="459"/>
      <c r="V66" s="459"/>
      <c r="W66" s="459"/>
      <c r="X66" s="459"/>
      <c r="Y66" s="459"/>
      <c r="Z66" s="459"/>
      <c r="AA66" s="459"/>
      <c r="AB66" s="459"/>
      <c r="AC66" s="459"/>
      <c r="AD66" s="459"/>
      <c r="AE66" s="459"/>
      <c r="AF66" s="459"/>
      <c r="AG66" s="459"/>
      <c r="AH66" s="459"/>
      <c r="AI66" s="459"/>
      <c r="AJ66" s="459"/>
      <c r="AK66" s="459"/>
      <c r="AL66" s="459"/>
      <c r="AM66" s="459"/>
      <c r="AN66" s="459"/>
      <c r="AO66" s="459"/>
      <c r="AP66" s="459"/>
    </row>
    <row r="67" ht="15.75" customHeight="1">
      <c r="A67" s="459"/>
      <c r="C67" s="502"/>
      <c r="P67" s="501" t="s">
        <v>300</v>
      </c>
      <c r="Q67" s="459"/>
      <c r="R67" s="459"/>
      <c r="S67" s="459"/>
      <c r="T67" s="459"/>
      <c r="U67" s="459"/>
      <c r="V67" s="459"/>
      <c r="W67" s="459"/>
      <c r="X67" s="459"/>
      <c r="Y67" s="459"/>
      <c r="Z67" s="459"/>
      <c r="AA67" s="459"/>
      <c r="AB67" s="459"/>
      <c r="AC67" s="459"/>
      <c r="AD67" s="459"/>
      <c r="AE67" s="459"/>
      <c r="AF67" s="459"/>
      <c r="AG67" s="459"/>
      <c r="AH67" s="459"/>
      <c r="AI67" s="459"/>
      <c r="AJ67" s="459"/>
      <c r="AK67" s="459"/>
      <c r="AL67" s="459"/>
      <c r="AM67" s="459"/>
      <c r="AN67" s="459"/>
      <c r="AO67" s="459"/>
      <c r="AP67" s="459"/>
    </row>
    <row r="68" ht="15.75" customHeight="1">
      <c r="A68" s="459"/>
      <c r="C68" s="503" t="s">
        <v>301</v>
      </c>
      <c r="D68" s="185"/>
      <c r="E68" s="185"/>
      <c r="F68" s="185"/>
      <c r="G68" s="185"/>
      <c r="H68" s="185"/>
      <c r="I68" s="185"/>
      <c r="J68" s="185"/>
      <c r="K68" s="185"/>
      <c r="L68" s="185"/>
      <c r="M68" s="185"/>
      <c r="N68" s="185"/>
      <c r="P68" s="501" t="s">
        <v>302</v>
      </c>
      <c r="Q68" s="459"/>
      <c r="R68" s="459"/>
      <c r="S68" s="459"/>
      <c r="T68" s="459"/>
      <c r="U68" s="459"/>
      <c r="V68" s="459"/>
      <c r="W68" s="459"/>
      <c r="X68" s="459"/>
      <c r="Y68" s="459"/>
      <c r="Z68" s="459"/>
      <c r="AA68" s="459"/>
      <c r="AB68" s="459"/>
      <c r="AC68" s="459"/>
      <c r="AD68" s="459"/>
      <c r="AE68" s="459"/>
      <c r="AF68" s="459"/>
      <c r="AG68" s="459"/>
      <c r="AH68" s="459"/>
      <c r="AI68" s="459"/>
      <c r="AJ68" s="459"/>
      <c r="AK68" s="459"/>
      <c r="AL68" s="459"/>
      <c r="AM68" s="459"/>
      <c r="AN68" s="459"/>
      <c r="AO68" s="459"/>
      <c r="AP68" s="459"/>
    </row>
    <row r="69" ht="15.75" customHeight="1">
      <c r="A69" s="459"/>
      <c r="C69" s="504" t="str">
        <f>IMAGE("http://i.imgur.com/7WHiYi1.png",2)</f>
        <v/>
      </c>
      <c r="D69" s="25"/>
      <c r="E69" s="25"/>
      <c r="F69" s="25"/>
      <c r="G69" s="25"/>
      <c r="H69" s="25"/>
      <c r="I69" s="25"/>
      <c r="J69" s="25"/>
      <c r="K69" s="25"/>
      <c r="L69" s="25"/>
      <c r="M69" s="25"/>
      <c r="N69" s="25"/>
      <c r="P69" s="459"/>
      <c r="Q69" s="459"/>
      <c r="R69" s="459"/>
      <c r="S69" s="459"/>
      <c r="T69" s="459"/>
      <c r="U69" s="459"/>
      <c r="V69" s="459"/>
      <c r="W69" s="459"/>
      <c r="X69" s="459"/>
      <c r="Y69" s="459"/>
      <c r="Z69" s="459"/>
      <c r="AA69" s="459"/>
      <c r="AB69" s="459"/>
      <c r="AC69" s="459"/>
      <c r="AD69" s="459"/>
      <c r="AE69" s="459"/>
      <c r="AF69" s="459"/>
      <c r="AG69" s="459"/>
      <c r="AH69" s="459"/>
      <c r="AI69" s="459"/>
      <c r="AJ69" s="459"/>
      <c r="AK69" s="459"/>
      <c r="AL69" s="459"/>
      <c r="AM69" s="459"/>
      <c r="AN69" s="459"/>
      <c r="AO69" s="459"/>
      <c r="AP69" s="459"/>
    </row>
  </sheetData>
  <mergeCells count="82">
    <mergeCell ref="C7:AN7"/>
    <mergeCell ref="C8:AN8"/>
    <mergeCell ref="C9:AN9"/>
    <mergeCell ref="C10:AN10"/>
    <mergeCell ref="C11:AN11"/>
    <mergeCell ref="C12:AN12"/>
    <mergeCell ref="C13:AN13"/>
    <mergeCell ref="C14:AN14"/>
    <mergeCell ref="C15:AN15"/>
    <mergeCell ref="C16:AN16"/>
    <mergeCell ref="C17:AN17"/>
    <mergeCell ref="C18:AN18"/>
    <mergeCell ref="C19:AN19"/>
    <mergeCell ref="C20:AN20"/>
    <mergeCell ref="C31:AN31"/>
    <mergeCell ref="C32:AN32"/>
    <mergeCell ref="AO1:AO34"/>
    <mergeCell ref="C2:AN2"/>
    <mergeCell ref="C3:AN3"/>
    <mergeCell ref="C4:AN4"/>
    <mergeCell ref="C5:AN5"/>
    <mergeCell ref="C6:AN6"/>
    <mergeCell ref="C33:AN33"/>
    <mergeCell ref="C56:AN56"/>
    <mergeCell ref="C57:AN57"/>
    <mergeCell ref="C34:AN34"/>
    <mergeCell ref="C35:AN35"/>
    <mergeCell ref="AO35:AO59"/>
    <mergeCell ref="C36:AN36"/>
    <mergeCell ref="C37:AN37"/>
    <mergeCell ref="C38:AN38"/>
    <mergeCell ref="C39:AN39"/>
    <mergeCell ref="C42:AN42"/>
    <mergeCell ref="C43:AN43"/>
    <mergeCell ref="C44:AN44"/>
    <mergeCell ref="C45:AN45"/>
    <mergeCell ref="C46:AN46"/>
    <mergeCell ref="C47:AN47"/>
    <mergeCell ref="C48:AN48"/>
    <mergeCell ref="C49:AN49"/>
    <mergeCell ref="C50:AN50"/>
    <mergeCell ref="C51:AN51"/>
    <mergeCell ref="C52:AN52"/>
    <mergeCell ref="C53:AN53"/>
    <mergeCell ref="C54:AN54"/>
    <mergeCell ref="C55:AN55"/>
    <mergeCell ref="G62:H62"/>
    <mergeCell ref="K62:L62"/>
    <mergeCell ref="M62:N62"/>
    <mergeCell ref="C63:D63"/>
    <mergeCell ref="E63:F63"/>
    <mergeCell ref="G63:H63"/>
    <mergeCell ref="I63:J63"/>
    <mergeCell ref="K63:L63"/>
    <mergeCell ref="M63:N63"/>
    <mergeCell ref="C65:N65"/>
    <mergeCell ref="C66:N66"/>
    <mergeCell ref="C67:N67"/>
    <mergeCell ref="C68:N68"/>
    <mergeCell ref="C40:AN40"/>
    <mergeCell ref="C41:AN41"/>
    <mergeCell ref="C58:AN58"/>
    <mergeCell ref="C60:N60"/>
    <mergeCell ref="O60:O69"/>
    <mergeCell ref="E61:L61"/>
    <mergeCell ref="M61:N61"/>
    <mergeCell ref="C69:N69"/>
    <mergeCell ref="C21:AN21"/>
    <mergeCell ref="C22:AN22"/>
    <mergeCell ref="C23:AN23"/>
    <mergeCell ref="C24:AN24"/>
    <mergeCell ref="C25:AN25"/>
    <mergeCell ref="C26:AN26"/>
    <mergeCell ref="C27:AN27"/>
    <mergeCell ref="C28:AN28"/>
    <mergeCell ref="C29:AN29"/>
    <mergeCell ref="C30:AN30"/>
    <mergeCell ref="B1:B33"/>
    <mergeCell ref="B34:B59"/>
    <mergeCell ref="B60:B69"/>
    <mergeCell ref="C61:D61"/>
    <mergeCell ref="D62:E62"/>
  </mergeCells>
  <conditionalFormatting sqref="C68">
    <cfRule type="expression" dxfId="0" priority="1">
      <formula>#REF!="Red"</formula>
    </cfRule>
  </conditionalFormatting>
  <conditionalFormatting sqref="C68">
    <cfRule type="expression" dxfId="4" priority="2">
      <formula>#REF!="Orange"</formula>
    </cfRule>
  </conditionalFormatting>
  <conditionalFormatting sqref="C68">
    <cfRule type="expression" dxfId="29" priority="3">
      <formula>#REF!="Yellow"</formula>
    </cfRule>
  </conditionalFormatting>
  <conditionalFormatting sqref="C68">
    <cfRule type="expression" dxfId="30" priority="4">
      <formula>#REF!="Green"</formula>
    </cfRule>
  </conditionalFormatting>
  <conditionalFormatting sqref="C68">
    <cfRule type="expression" dxfId="31" priority="5">
      <formula>#REF!="Cyan"</formula>
    </cfRule>
  </conditionalFormatting>
  <conditionalFormatting sqref="C68">
    <cfRule type="expression" dxfId="32" priority="6">
      <formula>#REF!="Blue"</formula>
    </cfRule>
  </conditionalFormatting>
  <conditionalFormatting sqref="C68">
    <cfRule type="expression" dxfId="33" priority="7">
      <formula>#REF!="Purple"</formula>
    </cfRule>
  </conditionalFormatting>
  <conditionalFormatting sqref="C68">
    <cfRule type="expression" dxfId="34" priority="8">
      <formula>#REF!="Magenta"</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05"/>
      <c r="B1" s="506"/>
      <c r="C1" s="506"/>
      <c r="D1" s="506"/>
      <c r="E1" s="506"/>
      <c r="F1" s="506"/>
      <c r="G1" s="506"/>
      <c r="H1" s="507"/>
      <c r="I1" s="507"/>
      <c r="J1" s="507"/>
      <c r="K1" s="507"/>
      <c r="L1" s="506"/>
      <c r="M1" s="506"/>
      <c r="N1" s="506"/>
      <c r="O1" s="508" t="str">
        <f>IMAGE("http://i.imgur.com/4gaCjL0.png",2)</f>
        <v/>
      </c>
      <c r="P1" s="509" t="str">
        <f>IMAGE("https://i.imgur.com/IxRRFOd.png",2)</f>
        <v/>
      </c>
      <c r="AB1" s="510" t="str">
        <f>IMAGE("http://i.imgur.com/GYlWKEy.png",2)</f>
        <v/>
      </c>
      <c r="AC1" s="507"/>
      <c r="AD1" s="507"/>
      <c r="AE1" s="506"/>
      <c r="AF1" s="506"/>
      <c r="AG1" s="506"/>
      <c r="AH1" s="506"/>
      <c r="AI1" s="507"/>
      <c r="AJ1" s="506"/>
      <c r="AK1" s="506"/>
      <c r="AL1" s="506"/>
      <c r="AM1" s="506"/>
      <c r="AN1" s="511"/>
      <c r="AO1" s="511"/>
      <c r="AP1" s="512" t="str">
        <f>if(MonkLevel&gt;5,"magical ","")</f>
        <v/>
      </c>
    </row>
    <row r="2" ht="15.75" customHeight="1">
      <c r="A2" s="505"/>
      <c r="B2" s="513" t="str">
        <f>IMAGE("http://i.imgur.com/txQSaWP.png",4,20,400)</f>
        <v/>
      </c>
      <c r="P2" s="514" t="s">
        <v>303</v>
      </c>
      <c r="Q2" s="25"/>
      <c r="R2" s="25"/>
      <c r="S2" s="25"/>
      <c r="T2" s="25"/>
      <c r="U2" s="25"/>
      <c r="V2" s="25"/>
      <c r="W2" s="25"/>
      <c r="X2" s="25"/>
      <c r="Y2" s="25"/>
      <c r="Z2" s="25"/>
      <c r="AA2" s="25"/>
      <c r="AC2" s="515" t="str">
        <f>IMAGE("http://i.imgur.com/txQSaWP.png",4,20,400)</f>
        <v/>
      </c>
      <c r="AP2" s="516"/>
    </row>
    <row r="3" ht="15.75" customHeight="1">
      <c r="A3" s="505"/>
      <c r="B3" s="517" t="s">
        <v>304</v>
      </c>
      <c r="P3" s="31"/>
      <c r="Q3" s="31"/>
      <c r="R3" s="31"/>
      <c r="S3" s="31"/>
      <c r="T3" s="31"/>
      <c r="U3" s="31"/>
      <c r="V3" s="31"/>
      <c r="W3" s="31"/>
      <c r="X3" s="31"/>
      <c r="Y3" s="31"/>
      <c r="Z3" s="31"/>
      <c r="AA3" s="31"/>
      <c r="AC3" s="518" t="s">
        <v>305</v>
      </c>
      <c r="AO3" s="11"/>
      <c r="AP3" s="505"/>
    </row>
    <row r="4" ht="15.75" customHeight="1">
      <c r="A4" s="505"/>
      <c r="B4" s="27"/>
      <c r="P4" s="511" t="str">
        <f>IMAGE("http://i.imgur.com/7WHiYi1.png",2)</f>
        <v/>
      </c>
      <c r="AO4" s="11"/>
      <c r="AP4" s="505"/>
    </row>
    <row r="5" ht="15.75" customHeight="1">
      <c r="A5" s="505"/>
      <c r="B5" s="519" t="s">
        <v>306</v>
      </c>
      <c r="C5" s="520"/>
      <c r="D5" s="520"/>
      <c r="E5" s="520"/>
      <c r="F5" s="520"/>
      <c r="G5" s="521" t="s">
        <v>307</v>
      </c>
      <c r="H5" s="520"/>
      <c r="I5" s="521" t="s">
        <v>308</v>
      </c>
      <c r="J5" s="520"/>
      <c r="K5" s="520"/>
      <c r="L5" s="520"/>
      <c r="M5" s="521" t="s">
        <v>309</v>
      </c>
      <c r="N5" s="520"/>
      <c r="O5" s="520"/>
      <c r="P5" s="521" t="s">
        <v>310</v>
      </c>
      <c r="Q5" s="520"/>
      <c r="R5" s="520"/>
      <c r="S5" s="520"/>
      <c r="T5" s="521" t="s">
        <v>311</v>
      </c>
      <c r="U5" s="520"/>
      <c r="V5" s="521" t="s">
        <v>312</v>
      </c>
      <c r="W5" s="520"/>
      <c r="X5" s="520"/>
      <c r="Y5" s="521" t="s">
        <v>313</v>
      </c>
      <c r="Z5" s="520"/>
      <c r="AA5" s="521" t="s">
        <v>314</v>
      </c>
      <c r="AB5" s="520"/>
      <c r="AC5" s="520"/>
      <c r="AD5" s="521" t="s">
        <v>315</v>
      </c>
      <c r="AE5" s="520"/>
      <c r="AF5" s="521" t="s">
        <v>316</v>
      </c>
      <c r="AG5" s="520"/>
      <c r="AH5" s="520"/>
      <c r="AI5" s="520"/>
      <c r="AJ5" s="520"/>
      <c r="AK5" s="520"/>
      <c r="AL5" s="520"/>
      <c r="AM5" s="520"/>
      <c r="AN5" s="521" t="s">
        <v>317</v>
      </c>
      <c r="AO5" s="522"/>
    </row>
    <row r="6" ht="15.75" customHeight="1">
      <c r="A6" s="505"/>
      <c r="B6" s="523"/>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c r="AC6" s="524"/>
      <c r="AD6" s="524"/>
      <c r="AE6" s="524"/>
      <c r="AF6" s="524"/>
      <c r="AG6" s="524"/>
      <c r="AH6" s="524"/>
      <c r="AI6" s="524"/>
      <c r="AJ6" s="524"/>
      <c r="AK6" s="524"/>
      <c r="AL6" s="524"/>
      <c r="AM6" s="524"/>
      <c r="AN6" s="524"/>
      <c r="AO6" s="525"/>
    </row>
    <row r="7" ht="15.75" customHeight="1">
      <c r="A7" s="505"/>
      <c r="B7" s="526" t="s">
        <v>318</v>
      </c>
      <c r="G7" s="527" t="str">
        <f>"1"&amp;if(or(unarmedFighting,isnumber(find("brawler",v2.1!$AQ$60)),MonkLevel&lt;&gt;0),"d"&amp;max(unarmedFighting*6,4+floor((MonkLevel+1)/6,1)*2),"")</f>
        <v>1</v>
      </c>
      <c r="I7" s="527" t="str">
        <f>monkMagic&amp;"bludgeoning"</f>
        <v>bludgeoning</v>
      </c>
      <c r="M7" s="527" t="s">
        <v>319</v>
      </c>
      <c r="P7" s="527" t="s">
        <v>320</v>
      </c>
      <c r="T7" s="528">
        <v>1.0</v>
      </c>
      <c r="V7" s="527" t="s">
        <v>321</v>
      </c>
      <c r="Y7" s="527" t="s">
        <v>321</v>
      </c>
      <c r="AA7" s="527" t="s">
        <v>321</v>
      </c>
      <c r="AD7" s="527" t="s">
        <v>321</v>
      </c>
      <c r="AF7" s="527" t="s">
        <v>321</v>
      </c>
      <c r="AN7" s="528">
        <v>1.0</v>
      </c>
      <c r="AO7" s="529"/>
    </row>
    <row r="8" ht="15.75" customHeight="1">
      <c r="A8" s="505"/>
      <c r="B8" s="530" t="s">
        <v>322</v>
      </c>
      <c r="G8" s="531" t="str">
        <f>"1"&amp;if(or(unarmedFighting,isnumber(find("brawler",v2.1!$AQ$60)),MonkLevel&lt;&gt;0),"d"&amp;max(unarmedFighting*8,4+floor((MonkLevel+1)/6,1)*2),"")</f>
        <v>1</v>
      </c>
      <c r="I8" s="531" t="str">
        <f>monkMagic&amp;"bludgeoning"</f>
        <v>bludgeoning</v>
      </c>
      <c r="M8" s="531" t="s">
        <v>319</v>
      </c>
      <c r="P8" s="531" t="s">
        <v>320</v>
      </c>
      <c r="T8" s="532">
        <v>1.0</v>
      </c>
      <c r="V8" s="531" t="s">
        <v>321</v>
      </c>
      <c r="Y8" s="531" t="s">
        <v>321</v>
      </c>
      <c r="AA8" s="531" t="s">
        <v>321</v>
      </c>
      <c r="AD8" s="531" t="s">
        <v>321</v>
      </c>
      <c r="AF8" s="531" t="s">
        <v>321</v>
      </c>
      <c r="AN8" s="532">
        <v>1.0</v>
      </c>
      <c r="AO8" s="533"/>
    </row>
    <row r="9" ht="15.75" customHeight="1">
      <c r="A9" s="505"/>
      <c r="B9" s="526" t="str">
        <f>IFERROR(__xludf.DUMMYFUNCTION("if(and(v2.1!$AX$5&lt;&gt;""-"",v2.1!$AX$5&lt;&gt;""""),regexreplace(v2.1!$AX$5,"" [0-9]d[0-9]+[A-Za-z ]+"",""""),""Natural Attack"")"),"Natural Attack")</f>
        <v>Natural Attack</v>
      </c>
      <c r="G9" s="527">
        <f>IFERROR(__xludf.DUMMYFUNCTION("if(v2.1!$AX$5&lt;&gt;""-"",""1""&amp;if(or(isnumber(find(""brawler"",v2.1!$AQ$60)),isnumber(find(B9,v2.1!$AX$5)),MonkLevel&lt;&gt;0),""d""&amp;max(if(and(isnumber(find(B9,v2.1!$AX$5)),regexmatch(v2.1!$AX$5,""d[0-9]+"")),int(substitute(regexextract(v2.1!$AX$5,""d[0-9]+""),""d"&amp;""","""")),0),4+floor((MonkLevel+1)/6)*2),""""),0)"),0.0)</f>
        <v>0</v>
      </c>
      <c r="I9" s="527" t="str">
        <f>IFERROR(__xludf.DUMMYFUNCTION("if(and(v2.1!$AX$5&lt;&gt;""-"",v2.1!$AX$5&lt;&gt;""""),monkMagic&amp;mid(regexreplace(v2.1!$AX$5,""[A-Za-z ]+[0-9]d[0-9]+ "",""""),1,if(isnumber(find("" "",regexreplace(v2.1!$AX$5,""[A-Za-z ]+[0-9]d[0-9]+ "",""""))),find("" "",regexreplace(v2.1!$AX$5,""[A-Za-z ]+[0-9]d[0"&amp;"-9]+ "","""")),len(regexreplace(v2.1!$AX$5,""[A-Za-z ]+[0-9]d[0-9]+ "","""")))),""-"")"),"-")</f>
        <v>-</v>
      </c>
      <c r="M9" s="527" t="s">
        <v>323</v>
      </c>
      <c r="P9" s="527" t="s">
        <v>320</v>
      </c>
      <c r="T9" s="528">
        <v>1.0</v>
      </c>
      <c r="V9" s="527" t="s">
        <v>321</v>
      </c>
      <c r="Y9" s="527" t="s">
        <v>321</v>
      </c>
      <c r="AA9" s="527" t="s">
        <v>321</v>
      </c>
      <c r="AD9" s="527" t="s">
        <v>321</v>
      </c>
      <c r="AF9" s="527" t="str">
        <f>IFERROR(__xludf.DUMMYFUNCTION("if(regexreplace(v2.1!$AX$5,B9&amp;"" ""&amp;G9&amp;"" ""&amp;I9,"""")="""",""-"",proper(regexreplace(v2.1!$AX$5,B9&amp;"" ""&amp;G9&amp;"" ""&amp;I9,"""")))"),"-")</f>
        <v>-</v>
      </c>
      <c r="AN9" s="528">
        <v>1.0</v>
      </c>
      <c r="AO9" s="529"/>
    </row>
    <row r="10" ht="15.75" customHeight="1">
      <c r="A10" s="505"/>
      <c r="B10" s="530" t="s">
        <v>324</v>
      </c>
      <c r="G10" s="531" t="s">
        <v>325</v>
      </c>
      <c r="I10" s="531" t="s">
        <v>212</v>
      </c>
      <c r="M10" s="531" t="s">
        <v>326</v>
      </c>
      <c r="P10" s="531" t="s">
        <v>327</v>
      </c>
      <c r="T10" s="532">
        <v>0.0</v>
      </c>
      <c r="V10" s="531" t="s">
        <v>321</v>
      </c>
      <c r="Y10" s="531" t="s">
        <v>321</v>
      </c>
      <c r="AA10" s="531" t="s">
        <v>321</v>
      </c>
      <c r="AD10" s="531" t="s">
        <v>321</v>
      </c>
      <c r="AF10" s="531" t="s">
        <v>321</v>
      </c>
      <c r="AN10" s="532">
        <v>1.0</v>
      </c>
      <c r="AO10" s="533"/>
    </row>
    <row r="11" ht="15.75" customHeight="1">
      <c r="A11" s="505"/>
      <c r="B11" s="526" t="s">
        <v>328</v>
      </c>
      <c r="G11" s="527" t="str">
        <f>"1d"&amp;4+floor((MonkLevel+1)/6,1)*2</f>
        <v>1d4</v>
      </c>
      <c r="I11" s="527" t="s">
        <v>212</v>
      </c>
      <c r="M11" s="527" t="s">
        <v>329</v>
      </c>
      <c r="P11" s="527" t="s">
        <v>320</v>
      </c>
      <c r="T11" s="528">
        <v>1.0</v>
      </c>
      <c r="V11" s="527" t="s">
        <v>321</v>
      </c>
      <c r="Y11" s="527" t="s">
        <v>321</v>
      </c>
      <c r="AA11" s="527" t="s">
        <v>321</v>
      </c>
      <c r="AD11" s="527" t="s">
        <v>321</v>
      </c>
      <c r="AF11" s="527" t="s">
        <v>330</v>
      </c>
      <c r="AN11" s="528">
        <v>1.0</v>
      </c>
      <c r="AO11" s="529"/>
    </row>
    <row r="12" ht="15.75" customHeight="1">
      <c r="A12" s="505"/>
      <c r="B12" s="530" t="s">
        <v>331</v>
      </c>
      <c r="G12" s="531" t="str">
        <f>"1d"&amp;4+floor((MonkLevel+1)/6,1)*2</f>
        <v>1d4</v>
      </c>
      <c r="I12" s="531" t="s">
        <v>212</v>
      </c>
      <c r="M12" s="531" t="s">
        <v>329</v>
      </c>
      <c r="P12" s="531" t="s">
        <v>320</v>
      </c>
      <c r="T12" s="532">
        <v>1.0</v>
      </c>
      <c r="V12" s="531" t="s">
        <v>321</v>
      </c>
      <c r="Y12" s="531" t="s">
        <v>321</v>
      </c>
      <c r="AA12" s="531" t="s">
        <v>321</v>
      </c>
      <c r="AD12" s="531" t="s">
        <v>321</v>
      </c>
      <c r="AF12" s="531" t="s">
        <v>330</v>
      </c>
      <c r="AN12" s="532">
        <f>if(twoWeaponFighting,1,0)</f>
        <v>0</v>
      </c>
      <c r="AO12" s="533"/>
    </row>
    <row r="13" ht="15.75" customHeight="1">
      <c r="A13" s="505"/>
      <c r="B13" s="526" t="s">
        <v>332</v>
      </c>
      <c r="G13" s="527" t="str">
        <f>"1d"&amp;4+floor((MonkLevel+1)/6,1)*2</f>
        <v>1d4</v>
      </c>
      <c r="I13" s="527" t="s">
        <v>213</v>
      </c>
      <c r="M13" s="527" t="s">
        <v>329</v>
      </c>
      <c r="P13" s="527" t="s">
        <v>327</v>
      </c>
      <c r="T13" s="528">
        <v>1.0</v>
      </c>
      <c r="V13" s="527" t="s">
        <v>321</v>
      </c>
      <c r="Y13" s="527" t="s">
        <v>321</v>
      </c>
      <c r="AA13" s="527" t="s">
        <v>321</v>
      </c>
      <c r="AD13" s="527" t="s">
        <v>321</v>
      </c>
      <c r="AF13" s="527" t="s">
        <v>333</v>
      </c>
      <c r="AN13" s="528">
        <v>1.0</v>
      </c>
      <c r="AO13" s="529"/>
    </row>
    <row r="14" ht="15.75" customHeight="1">
      <c r="A14" s="505"/>
      <c r="B14" s="530" t="s">
        <v>334</v>
      </c>
      <c r="G14" s="531" t="str">
        <f>"1d"&amp;4+floor((MonkLevel+1)/6,1)*2</f>
        <v>1d4</v>
      </c>
      <c r="I14" s="531" t="s">
        <v>213</v>
      </c>
      <c r="M14" s="531" t="s">
        <v>329</v>
      </c>
      <c r="P14" s="531" t="s">
        <v>327</v>
      </c>
      <c r="T14" s="532">
        <v>1.0</v>
      </c>
      <c r="V14" s="531" t="s">
        <v>321</v>
      </c>
      <c r="Y14" s="531" t="s">
        <v>321</v>
      </c>
      <c r="AA14" s="531" t="s">
        <v>321</v>
      </c>
      <c r="AD14" s="531" t="s">
        <v>321</v>
      </c>
      <c r="AF14" s="531" t="s">
        <v>333</v>
      </c>
      <c r="AN14" s="532">
        <f>if(twoWeaponFighting,1,0)</f>
        <v>0</v>
      </c>
      <c r="AO14" s="533"/>
    </row>
    <row r="15" ht="15.75" customHeight="1">
      <c r="A15" s="505"/>
      <c r="B15" s="526" t="s">
        <v>335</v>
      </c>
      <c r="G15" s="527" t="s">
        <v>336</v>
      </c>
      <c r="I15" s="527" t="s">
        <v>212</v>
      </c>
      <c r="M15" s="527" t="s">
        <v>329</v>
      </c>
      <c r="P15" s="527" t="s">
        <v>320</v>
      </c>
      <c r="T15" s="528">
        <v>0.0</v>
      </c>
      <c r="V15" s="527" t="s">
        <v>321</v>
      </c>
      <c r="Y15" s="527" t="s">
        <v>321</v>
      </c>
      <c r="AA15" s="527" t="s">
        <v>321</v>
      </c>
      <c r="AD15" s="527" t="s">
        <v>321</v>
      </c>
      <c r="AF15" s="527" t="s">
        <v>337</v>
      </c>
      <c r="AN15" s="528">
        <v>1.0</v>
      </c>
      <c r="AO15" s="529"/>
    </row>
    <row r="16" ht="15.75" customHeight="1">
      <c r="A16" s="505"/>
      <c r="B16" s="530" t="s">
        <v>338</v>
      </c>
      <c r="G16" s="531" t="str">
        <f>"1d"&amp;max(6,4+floor((MonkLevel+1)/6,1)*2)</f>
        <v>1d6</v>
      </c>
      <c r="I16" s="531" t="s">
        <v>218</v>
      </c>
      <c r="M16" s="531" t="s">
        <v>329</v>
      </c>
      <c r="P16" s="531" t="s">
        <v>327</v>
      </c>
      <c r="T16" s="532">
        <v>1.0</v>
      </c>
      <c r="V16" s="531" t="s">
        <v>321</v>
      </c>
      <c r="Y16" s="531" t="s">
        <v>321</v>
      </c>
      <c r="AA16" s="531" t="s">
        <v>321</v>
      </c>
      <c r="AD16" s="531" t="s">
        <v>321</v>
      </c>
      <c r="AF16" s="531" t="s">
        <v>339</v>
      </c>
      <c r="AN16" s="532">
        <v>1.0</v>
      </c>
      <c r="AO16" s="533"/>
    </row>
    <row r="17" ht="15.75" customHeight="1">
      <c r="A17" s="505"/>
      <c r="B17" s="526" t="s">
        <v>340</v>
      </c>
      <c r="G17" s="527" t="str">
        <f>"1d"&amp;max(6,4+floor((MonkLevel+1)/6,1)*2)</f>
        <v>1d6</v>
      </c>
      <c r="I17" s="527" t="s">
        <v>218</v>
      </c>
      <c r="M17" s="527" t="s">
        <v>329</v>
      </c>
      <c r="P17" s="527" t="s">
        <v>327</v>
      </c>
      <c r="T17" s="528">
        <v>1.0</v>
      </c>
      <c r="V17" s="527" t="s">
        <v>321</v>
      </c>
      <c r="Y17" s="527" t="s">
        <v>321</v>
      </c>
      <c r="AA17" s="527" t="s">
        <v>321</v>
      </c>
      <c r="AD17" s="527" t="s">
        <v>321</v>
      </c>
      <c r="AF17" s="527" t="s">
        <v>339</v>
      </c>
      <c r="AN17" s="528">
        <f>if(twoWeaponFighting,1,0)</f>
        <v>0</v>
      </c>
      <c r="AO17" s="529"/>
    </row>
    <row r="18" ht="15.75" customHeight="1">
      <c r="A18" s="505"/>
      <c r="B18" s="530" t="s">
        <v>341</v>
      </c>
      <c r="G18" s="531" t="str">
        <f>"1d"&amp;max(6,4+floor((MonkLevel+1)/6,1)*2)</f>
        <v>1d6</v>
      </c>
      <c r="I18" s="531" t="s">
        <v>213</v>
      </c>
      <c r="M18" s="531" t="s">
        <v>329</v>
      </c>
      <c r="P18" s="531" t="s">
        <v>327</v>
      </c>
      <c r="T18" s="532">
        <v>1.0</v>
      </c>
      <c r="V18" s="531" t="s">
        <v>321</v>
      </c>
      <c r="Y18" s="531" t="s">
        <v>321</v>
      </c>
      <c r="AA18" s="531" t="s">
        <v>321</v>
      </c>
      <c r="AD18" s="531" t="s">
        <v>321</v>
      </c>
      <c r="AF18" s="531" t="s">
        <v>342</v>
      </c>
      <c r="AN18" s="532">
        <v>1.0</v>
      </c>
      <c r="AO18" s="533"/>
    </row>
    <row r="19" ht="15.75" customHeight="1">
      <c r="A19" s="505"/>
      <c r="B19" s="526" t="s">
        <v>343</v>
      </c>
      <c r="G19" s="527" t="str">
        <f>"1d"&amp;4+floor((MonkLevel+1)/6,1)*2</f>
        <v>1d4</v>
      </c>
      <c r="I19" s="527" t="s">
        <v>212</v>
      </c>
      <c r="M19" s="527" t="s">
        <v>329</v>
      </c>
      <c r="P19" s="527" t="s">
        <v>327</v>
      </c>
      <c r="T19" s="528">
        <v>1.0</v>
      </c>
      <c r="V19" s="527" t="s">
        <v>321</v>
      </c>
      <c r="Y19" s="527" t="s">
        <v>321</v>
      </c>
      <c r="AA19" s="527" t="s">
        <v>321</v>
      </c>
      <c r="AD19" s="527" t="s">
        <v>321</v>
      </c>
      <c r="AF19" s="527" t="s">
        <v>339</v>
      </c>
      <c r="AN19" s="528">
        <v>1.0</v>
      </c>
      <c r="AO19" s="529"/>
    </row>
    <row r="20" ht="15.75" customHeight="1">
      <c r="A20" s="505"/>
      <c r="B20" s="530" t="s">
        <v>344</v>
      </c>
      <c r="G20" s="531" t="str">
        <f>"1d"&amp;4+floor((MonkLevel+1)/6,1)*2</f>
        <v>1d4</v>
      </c>
      <c r="I20" s="531" t="s">
        <v>212</v>
      </c>
      <c r="M20" s="531" t="s">
        <v>329</v>
      </c>
      <c r="P20" s="531" t="s">
        <v>327</v>
      </c>
      <c r="T20" s="532">
        <v>1.0</v>
      </c>
      <c r="V20" s="531" t="s">
        <v>321</v>
      </c>
      <c r="Y20" s="531" t="s">
        <v>321</v>
      </c>
      <c r="AA20" s="531" t="s">
        <v>321</v>
      </c>
      <c r="AD20" s="531" t="s">
        <v>321</v>
      </c>
      <c r="AF20" s="531" t="s">
        <v>339</v>
      </c>
      <c r="AN20" s="532">
        <f>if(twoWeaponFighting,1,0)</f>
        <v>0</v>
      </c>
      <c r="AO20" s="533"/>
    </row>
    <row r="21" ht="15.75" customHeight="1">
      <c r="A21" s="505"/>
      <c r="B21" s="526" t="s">
        <v>345</v>
      </c>
      <c r="G21" s="527" t="str">
        <f>"1d"&amp;max(6,4+floor((MonkLevel+1)/6,1)*2)</f>
        <v>1d6</v>
      </c>
      <c r="I21" s="527" t="s">
        <v>212</v>
      </c>
      <c r="M21" s="527" t="s">
        <v>329</v>
      </c>
      <c r="P21" s="527" t="s">
        <v>320</v>
      </c>
      <c r="T21" s="528">
        <v>1.0</v>
      </c>
      <c r="V21" s="527" t="s">
        <v>321</v>
      </c>
      <c r="Y21" s="527" t="s">
        <v>321</v>
      </c>
      <c r="AA21" s="527" t="s">
        <v>321</v>
      </c>
      <c r="AD21" s="527" t="s">
        <v>321</v>
      </c>
      <c r="AF21" s="527" t="s">
        <v>321</v>
      </c>
      <c r="AN21" s="528">
        <v>1.0</v>
      </c>
      <c r="AO21" s="529"/>
    </row>
    <row r="22" ht="15.75" customHeight="1">
      <c r="A22" s="505"/>
      <c r="B22" s="530" t="s">
        <v>346</v>
      </c>
      <c r="G22" s="531" t="str">
        <f>"1d"&amp;max(6,4+floor((MonkLevel+1)/6,1)*2)</f>
        <v>1d6</v>
      </c>
      <c r="I22" s="531" t="s">
        <v>212</v>
      </c>
      <c r="M22" s="531" t="s">
        <v>329</v>
      </c>
      <c r="P22" s="531" t="s">
        <v>320</v>
      </c>
      <c r="T22" s="532">
        <v>1.0</v>
      </c>
      <c r="V22" s="531" t="s">
        <v>321</v>
      </c>
      <c r="Y22" s="531" t="s">
        <v>321</v>
      </c>
      <c r="AA22" s="531" t="s">
        <v>321</v>
      </c>
      <c r="AD22" s="531" t="s">
        <v>321</v>
      </c>
      <c r="AF22" s="531" t="s">
        <v>321</v>
      </c>
      <c r="AN22" s="532">
        <f>if(twoWeaponFighting,1,0)</f>
        <v>0</v>
      </c>
      <c r="AO22" s="533"/>
    </row>
    <row r="23" ht="15.75" customHeight="1">
      <c r="A23" s="505"/>
      <c r="B23" s="526" t="s">
        <v>347</v>
      </c>
      <c r="G23" s="527" t="str">
        <f>"1d"&amp;max(6,4+floor((MonkLevel+1)/6,1)*2)</f>
        <v>1d6</v>
      </c>
      <c r="I23" s="527" t="s">
        <v>212</v>
      </c>
      <c r="M23" s="527" t="s">
        <v>329</v>
      </c>
      <c r="P23" s="527" t="s">
        <v>320</v>
      </c>
      <c r="T23" s="528">
        <v>1.0</v>
      </c>
      <c r="V23" s="527" t="s">
        <v>321</v>
      </c>
      <c r="Y23" s="527" t="s">
        <v>321</v>
      </c>
      <c r="AA23" s="527" t="s">
        <v>321</v>
      </c>
      <c r="AD23" s="527" t="s">
        <v>321</v>
      </c>
      <c r="AF23" s="527" t="s">
        <v>348</v>
      </c>
      <c r="AN23" s="528">
        <v>1.0</v>
      </c>
      <c r="AO23" s="529"/>
    </row>
    <row r="24" ht="15.75" customHeight="1">
      <c r="A24" s="505"/>
      <c r="B24" s="530" t="s">
        <v>349</v>
      </c>
      <c r="G24" s="531" t="str">
        <f>"1d"&amp;max(8,4+floor((MonkLevel+1)/6,1)*2)</f>
        <v>1d8</v>
      </c>
      <c r="I24" s="531" t="s">
        <v>212</v>
      </c>
      <c r="M24" s="531" t="s">
        <v>329</v>
      </c>
      <c r="P24" s="531" t="s">
        <v>320</v>
      </c>
      <c r="T24" s="532">
        <v>1.0</v>
      </c>
      <c r="V24" s="531" t="s">
        <v>321</v>
      </c>
      <c r="Y24" s="531" t="s">
        <v>321</v>
      </c>
      <c r="AA24" s="531" t="s">
        <v>321</v>
      </c>
      <c r="AD24" s="531" t="s">
        <v>321</v>
      </c>
      <c r="AF24" s="531" t="s">
        <v>348</v>
      </c>
      <c r="AN24" s="532">
        <v>1.0</v>
      </c>
      <c r="AO24" s="533"/>
    </row>
    <row r="25" ht="15.75" customHeight="1">
      <c r="A25" s="505"/>
      <c r="B25" s="526" t="s">
        <v>350</v>
      </c>
      <c r="G25" s="527" t="s">
        <v>325</v>
      </c>
      <c r="I25" s="527" t="s">
        <v>212</v>
      </c>
      <c r="M25" s="527" t="s">
        <v>329</v>
      </c>
      <c r="P25" s="527" t="s">
        <v>320</v>
      </c>
      <c r="T25" s="528">
        <v>1.0</v>
      </c>
      <c r="V25" s="527" t="s">
        <v>321</v>
      </c>
      <c r="Y25" s="527" t="s">
        <v>321</v>
      </c>
      <c r="AA25" s="527" t="s">
        <v>321</v>
      </c>
      <c r="AD25" s="527" t="s">
        <v>321</v>
      </c>
      <c r="AF25" s="527" t="s">
        <v>348</v>
      </c>
      <c r="AN25" s="528">
        <v>1.0</v>
      </c>
      <c r="AO25" s="529"/>
    </row>
    <row r="26" ht="15.75" customHeight="1">
      <c r="A26" s="505"/>
      <c r="B26" s="530" t="s">
        <v>351</v>
      </c>
      <c r="G26" s="531" t="str">
        <f>"1d"&amp;4+floor((MonkLevel+1)/6,1)*2</f>
        <v>1d4</v>
      </c>
      <c r="I26" s="531" t="s">
        <v>218</v>
      </c>
      <c r="M26" s="531" t="s">
        <v>329</v>
      </c>
      <c r="P26" s="531" t="s">
        <v>320</v>
      </c>
      <c r="T26" s="532">
        <v>1.0</v>
      </c>
      <c r="V26" s="531" t="s">
        <v>321</v>
      </c>
      <c r="Y26" s="531" t="s">
        <v>321</v>
      </c>
      <c r="AA26" s="531" t="s">
        <v>321</v>
      </c>
      <c r="AD26" s="531" t="s">
        <v>321</v>
      </c>
      <c r="AF26" s="531" t="s">
        <v>330</v>
      </c>
      <c r="AN26" s="532">
        <v>1.0</v>
      </c>
      <c r="AO26" s="533"/>
    </row>
    <row r="27" ht="15.75" customHeight="1">
      <c r="A27" s="505"/>
      <c r="B27" s="526" t="s">
        <v>352</v>
      </c>
      <c r="G27" s="527" t="str">
        <f>"1d"&amp;4+floor((MonkLevel+1)/6,1)*2</f>
        <v>1d4</v>
      </c>
      <c r="I27" s="527" t="s">
        <v>218</v>
      </c>
      <c r="M27" s="527" t="s">
        <v>329</v>
      </c>
      <c r="P27" s="527" t="s">
        <v>320</v>
      </c>
      <c r="T27" s="528">
        <v>1.0</v>
      </c>
      <c r="V27" s="527" t="s">
        <v>321</v>
      </c>
      <c r="Y27" s="527" t="s">
        <v>321</v>
      </c>
      <c r="AA27" s="527" t="s">
        <v>321</v>
      </c>
      <c r="AD27" s="527" t="s">
        <v>321</v>
      </c>
      <c r="AF27" s="527" t="s">
        <v>330</v>
      </c>
      <c r="AN27" s="528">
        <f>if(twoWeaponFighting,1,0)</f>
        <v>0</v>
      </c>
      <c r="AO27" s="529"/>
    </row>
    <row r="28" ht="15.75" customHeight="1">
      <c r="A28" s="505"/>
      <c r="B28" s="530" t="s">
        <v>353</v>
      </c>
      <c r="G28" s="531" t="str">
        <f>"1d"&amp;max(6,4+floor((MonkLevel+1)/6,1)*2)</f>
        <v>1d6</v>
      </c>
      <c r="I28" s="531" t="s">
        <v>213</v>
      </c>
      <c r="M28" s="531" t="s">
        <v>329</v>
      </c>
      <c r="P28" s="531" t="s">
        <v>327</v>
      </c>
      <c r="T28" s="532">
        <v>1.0</v>
      </c>
      <c r="V28" s="531" t="s">
        <v>321</v>
      </c>
      <c r="Y28" s="531" t="s">
        <v>321</v>
      </c>
      <c r="AA28" s="531" t="s">
        <v>321</v>
      </c>
      <c r="AD28" s="531" t="s">
        <v>321</v>
      </c>
      <c r="AF28" s="531" t="s">
        <v>354</v>
      </c>
      <c r="AN28" s="532">
        <v>1.0</v>
      </c>
      <c r="AO28" s="533"/>
    </row>
    <row r="29" ht="15.75" customHeight="1">
      <c r="A29" s="505"/>
      <c r="B29" s="526" t="s">
        <v>355</v>
      </c>
      <c r="G29" s="527" t="s">
        <v>325</v>
      </c>
      <c r="I29" s="527" t="s">
        <v>212</v>
      </c>
      <c r="M29" s="527" t="s">
        <v>329</v>
      </c>
      <c r="P29" s="527" t="s">
        <v>320</v>
      </c>
      <c r="T29" s="528">
        <v>1.0</v>
      </c>
      <c r="V29" s="527" t="s">
        <v>321</v>
      </c>
      <c r="Y29" s="527" t="s">
        <v>321</v>
      </c>
      <c r="AA29" s="527" t="s">
        <v>321</v>
      </c>
      <c r="AD29" s="527" t="s">
        <v>321</v>
      </c>
      <c r="AF29" s="527" t="s">
        <v>354</v>
      </c>
      <c r="AN29" s="528">
        <v>1.0</v>
      </c>
      <c r="AO29" s="529"/>
    </row>
    <row r="30" ht="15.75" customHeight="1">
      <c r="A30" s="505"/>
      <c r="B30" s="530" t="s">
        <v>356</v>
      </c>
      <c r="G30" s="531" t="str">
        <f>"1d"&amp;max(8,4+floor((MonkLevel+1)/6,1)*2)</f>
        <v>1d8</v>
      </c>
      <c r="I30" s="531" t="s">
        <v>213</v>
      </c>
      <c r="M30" s="531" t="s">
        <v>329</v>
      </c>
      <c r="P30" s="531" t="s">
        <v>320</v>
      </c>
      <c r="T30" s="532">
        <v>1.0</v>
      </c>
      <c r="V30" s="531" t="s">
        <v>321</v>
      </c>
      <c r="Y30" s="531" t="s">
        <v>321</v>
      </c>
      <c r="AA30" s="531" t="s">
        <v>321</v>
      </c>
      <c r="AD30" s="531" t="s">
        <v>321</v>
      </c>
      <c r="AF30" s="531" t="s">
        <v>354</v>
      </c>
      <c r="AN30" s="532">
        <v>1.0</v>
      </c>
      <c r="AO30" s="533"/>
    </row>
    <row r="31" ht="15.75" customHeight="1">
      <c r="A31" s="505"/>
      <c r="B31" s="526" t="s">
        <v>357</v>
      </c>
      <c r="G31" s="527" t="s">
        <v>336</v>
      </c>
      <c r="I31" s="527" t="s">
        <v>213</v>
      </c>
      <c r="M31" s="527" t="s">
        <v>329</v>
      </c>
      <c r="P31" s="527" t="s">
        <v>358</v>
      </c>
      <c r="T31" s="528">
        <v>0.0</v>
      </c>
      <c r="V31" s="527" t="s">
        <v>321</v>
      </c>
      <c r="Y31" s="527" t="s">
        <v>321</v>
      </c>
      <c r="AA31" s="527" t="s">
        <v>321</v>
      </c>
      <c r="AD31" s="527" t="s">
        <v>321</v>
      </c>
      <c r="AF31" s="527" t="s">
        <v>359</v>
      </c>
      <c r="AN31" s="528">
        <v>1.0</v>
      </c>
      <c r="AO31" s="529"/>
    </row>
    <row r="32" ht="15.75" customHeight="1">
      <c r="A32" s="505"/>
      <c r="B32" s="530" t="s">
        <v>360</v>
      </c>
      <c r="G32" s="531" t="s">
        <v>325</v>
      </c>
      <c r="I32" s="531" t="s">
        <v>213</v>
      </c>
      <c r="M32" s="531" t="s">
        <v>329</v>
      </c>
      <c r="P32" s="531" t="s">
        <v>358</v>
      </c>
      <c r="T32" s="532">
        <v>0.0</v>
      </c>
      <c r="V32" s="531" t="s">
        <v>321</v>
      </c>
      <c r="Y32" s="531" t="s">
        <v>321</v>
      </c>
      <c r="AA32" s="531" t="s">
        <v>321</v>
      </c>
      <c r="AD32" s="531" t="s">
        <v>321</v>
      </c>
      <c r="AF32" s="531" t="s">
        <v>361</v>
      </c>
      <c r="AN32" s="532">
        <v>1.0</v>
      </c>
      <c r="AO32" s="533"/>
    </row>
    <row r="33" ht="15.75" customHeight="1">
      <c r="A33" s="505"/>
      <c r="B33" s="526" t="s">
        <v>362</v>
      </c>
      <c r="G33" s="527" t="s">
        <v>363</v>
      </c>
      <c r="I33" s="527" t="s">
        <v>213</v>
      </c>
      <c r="M33" s="527" t="s">
        <v>329</v>
      </c>
      <c r="P33" s="527" t="s">
        <v>358</v>
      </c>
      <c r="T33" s="528">
        <v>0.0</v>
      </c>
      <c r="V33" s="527" t="s">
        <v>321</v>
      </c>
      <c r="Y33" s="527" t="s">
        <v>321</v>
      </c>
      <c r="AA33" s="527" t="s">
        <v>321</v>
      </c>
      <c r="AD33" s="527" t="s">
        <v>321</v>
      </c>
      <c r="AF33" s="527" t="s">
        <v>364</v>
      </c>
      <c r="AN33" s="528">
        <v>1.0</v>
      </c>
      <c r="AO33" s="529"/>
    </row>
    <row r="34" ht="15.75" customHeight="1">
      <c r="A34" s="505"/>
      <c r="B34" s="530" t="s">
        <v>365</v>
      </c>
      <c r="G34" s="531" t="s">
        <v>325</v>
      </c>
      <c r="I34" s="531" t="s">
        <v>212</v>
      </c>
      <c r="M34" s="531" t="s">
        <v>329</v>
      </c>
      <c r="P34" s="531" t="s">
        <v>358</v>
      </c>
      <c r="T34" s="532">
        <v>0.0</v>
      </c>
      <c r="V34" s="531" t="s">
        <v>321</v>
      </c>
      <c r="Y34" s="531" t="s">
        <v>321</v>
      </c>
      <c r="AA34" s="531" t="s">
        <v>321</v>
      </c>
      <c r="AD34" s="531" t="s">
        <v>321</v>
      </c>
      <c r="AF34" s="531" t="s">
        <v>366</v>
      </c>
      <c r="AN34" s="532">
        <v>1.0</v>
      </c>
      <c r="AO34" s="533"/>
    </row>
    <row r="35" ht="15.75" customHeight="1">
      <c r="A35" s="505"/>
      <c r="B35" s="526" t="s">
        <v>367</v>
      </c>
      <c r="G35" s="527" t="s">
        <v>336</v>
      </c>
      <c r="I35" s="527" t="s">
        <v>218</v>
      </c>
      <c r="M35" s="527" t="s">
        <v>368</v>
      </c>
      <c r="P35" s="527" t="s">
        <v>320</v>
      </c>
      <c r="T35" s="528">
        <v>0.0</v>
      </c>
      <c r="V35" s="527" t="s">
        <v>321</v>
      </c>
      <c r="Y35" s="527" t="s">
        <v>321</v>
      </c>
      <c r="AA35" s="527" t="s">
        <v>321</v>
      </c>
      <c r="AD35" s="527" t="s">
        <v>321</v>
      </c>
      <c r="AF35" s="527" t="s">
        <v>369</v>
      </c>
      <c r="AN35" s="528">
        <v>1.0</v>
      </c>
      <c r="AO35" s="529"/>
    </row>
    <row r="36" ht="15.75" customHeight="1">
      <c r="A36" s="505"/>
      <c r="B36" s="530" t="s">
        <v>370</v>
      </c>
      <c r="G36" s="531" t="s">
        <v>371</v>
      </c>
      <c r="I36" s="531" t="s">
        <v>218</v>
      </c>
      <c r="M36" s="531" t="s">
        <v>368</v>
      </c>
      <c r="P36" s="531" t="s">
        <v>320</v>
      </c>
      <c r="T36" s="532">
        <v>0.0</v>
      </c>
      <c r="V36" s="531" t="s">
        <v>321</v>
      </c>
      <c r="Y36" s="531" t="s">
        <v>321</v>
      </c>
      <c r="AA36" s="531" t="s">
        <v>321</v>
      </c>
      <c r="AD36" s="531" t="s">
        <v>321</v>
      </c>
      <c r="AF36" s="531" t="s">
        <v>369</v>
      </c>
      <c r="AN36" s="532">
        <v>1.0</v>
      </c>
      <c r="AO36" s="533"/>
    </row>
    <row r="37" ht="15.75" customHeight="1">
      <c r="A37" s="505"/>
      <c r="B37" s="526" t="s">
        <v>372</v>
      </c>
      <c r="G37" s="527" t="s">
        <v>336</v>
      </c>
      <c r="I37" s="527" t="s">
        <v>218</v>
      </c>
      <c r="M37" s="527" t="s">
        <v>368</v>
      </c>
      <c r="P37" s="527" t="s">
        <v>320</v>
      </c>
      <c r="T37" s="528">
        <v>0.0</v>
      </c>
      <c r="V37" s="527" t="s">
        <v>321</v>
      </c>
      <c r="Y37" s="527" t="s">
        <v>321</v>
      </c>
      <c r="AA37" s="527" t="s">
        <v>321</v>
      </c>
      <c r="AD37" s="527" t="s">
        <v>321</v>
      </c>
      <c r="AF37" s="527" t="s">
        <v>369</v>
      </c>
      <c r="AN37" s="528">
        <f>if(twoWeaponFighting,1,0)</f>
        <v>0</v>
      </c>
      <c r="AO37" s="529"/>
    </row>
    <row r="38" ht="15.75" customHeight="1">
      <c r="A38" s="505"/>
      <c r="B38" s="530" t="s">
        <v>373</v>
      </c>
      <c r="G38" s="531" t="s">
        <v>336</v>
      </c>
      <c r="I38" s="531" t="s">
        <v>212</v>
      </c>
      <c r="M38" s="531" t="s">
        <v>368</v>
      </c>
      <c r="P38" s="531" t="s">
        <v>320</v>
      </c>
      <c r="T38" s="532">
        <v>0.0</v>
      </c>
      <c r="V38" s="531" t="s">
        <v>321</v>
      </c>
      <c r="Y38" s="531" t="s">
        <v>321</v>
      </c>
      <c r="AA38" s="531" t="s">
        <v>321</v>
      </c>
      <c r="AD38" s="531" t="s">
        <v>321</v>
      </c>
      <c r="AF38" s="531" t="s">
        <v>321</v>
      </c>
      <c r="AN38" s="532">
        <v>1.0</v>
      </c>
      <c r="AO38" s="533"/>
    </row>
    <row r="39" ht="15.75" customHeight="1">
      <c r="A39" s="505"/>
      <c r="B39" s="526" t="s">
        <v>374</v>
      </c>
      <c r="G39" s="527" t="s">
        <v>336</v>
      </c>
      <c r="I39" s="527" t="s">
        <v>212</v>
      </c>
      <c r="M39" s="527" t="s">
        <v>368</v>
      </c>
      <c r="P39" s="527" t="s">
        <v>320</v>
      </c>
      <c r="T39" s="528">
        <v>0.0</v>
      </c>
      <c r="V39" s="527" t="s">
        <v>321</v>
      </c>
      <c r="Y39" s="527" t="s">
        <v>321</v>
      </c>
      <c r="AA39" s="527" t="s">
        <v>321</v>
      </c>
      <c r="AD39" s="527" t="s">
        <v>321</v>
      </c>
      <c r="AF39" s="527" t="s">
        <v>321</v>
      </c>
      <c r="AN39" s="528">
        <f>if(twoWeaponFighting,1,0)</f>
        <v>0</v>
      </c>
      <c r="AO39" s="529"/>
    </row>
    <row r="40" ht="15.75" customHeight="1">
      <c r="A40" s="505"/>
      <c r="B40" s="530" t="s">
        <v>375</v>
      </c>
      <c r="G40" s="531" t="s">
        <v>371</v>
      </c>
      <c r="I40" s="531" t="s">
        <v>218</v>
      </c>
      <c r="M40" s="531" t="s">
        <v>368</v>
      </c>
      <c r="P40" s="531" t="s">
        <v>320</v>
      </c>
      <c r="T40" s="532">
        <v>0.0</v>
      </c>
      <c r="V40" s="531" t="s">
        <v>321</v>
      </c>
      <c r="Y40" s="531" t="s">
        <v>321</v>
      </c>
      <c r="AA40" s="531" t="s">
        <v>321</v>
      </c>
      <c r="AD40" s="531" t="s">
        <v>321</v>
      </c>
      <c r="AF40" s="531" t="s">
        <v>376</v>
      </c>
      <c r="AN40" s="532">
        <v>1.0</v>
      </c>
      <c r="AO40" s="533"/>
    </row>
    <row r="41" ht="15.75" customHeight="1">
      <c r="A41" s="505"/>
      <c r="B41" s="526" t="s">
        <v>377</v>
      </c>
      <c r="G41" s="527" t="s">
        <v>325</v>
      </c>
      <c r="I41" s="527" t="s">
        <v>212</v>
      </c>
      <c r="M41" s="527" t="s">
        <v>368</v>
      </c>
      <c r="P41" s="527" t="s">
        <v>320</v>
      </c>
      <c r="T41" s="528">
        <v>0.0</v>
      </c>
      <c r="V41" s="527" t="s">
        <v>321</v>
      </c>
      <c r="Y41" s="527" t="s">
        <v>321</v>
      </c>
      <c r="AA41" s="527" t="s">
        <v>321</v>
      </c>
      <c r="AD41" s="527" t="s">
        <v>321</v>
      </c>
      <c r="AF41" s="527" t="s">
        <v>376</v>
      </c>
      <c r="AN41" s="528">
        <v>1.0</v>
      </c>
      <c r="AO41" s="529"/>
    </row>
    <row r="42" ht="15.75" customHeight="1">
      <c r="A42" s="505"/>
      <c r="B42" s="530" t="s">
        <v>378</v>
      </c>
      <c r="G42" s="531" t="s">
        <v>379</v>
      </c>
      <c r="I42" s="531" t="s">
        <v>218</v>
      </c>
      <c r="M42" s="531" t="s">
        <v>368</v>
      </c>
      <c r="P42" s="531" t="s">
        <v>320</v>
      </c>
      <c r="T42" s="532">
        <v>0.0</v>
      </c>
      <c r="V42" s="531" t="s">
        <v>321</v>
      </c>
      <c r="Y42" s="531" t="s">
        <v>321</v>
      </c>
      <c r="AA42" s="531" t="s">
        <v>321</v>
      </c>
      <c r="AD42" s="531" t="s">
        <v>321</v>
      </c>
      <c r="AF42" s="531" t="s">
        <v>380</v>
      </c>
      <c r="AN42" s="532">
        <v>1.0</v>
      </c>
      <c r="AO42" s="533"/>
    </row>
    <row r="43" ht="15.75" customHeight="1">
      <c r="A43" s="505"/>
      <c r="B43" s="526" t="s">
        <v>381</v>
      </c>
      <c r="G43" s="527" t="s">
        <v>382</v>
      </c>
      <c r="I43" s="527" t="s">
        <v>218</v>
      </c>
      <c r="M43" s="527" t="s">
        <v>368</v>
      </c>
      <c r="P43" s="527" t="s">
        <v>320</v>
      </c>
      <c r="T43" s="528">
        <v>0.0</v>
      </c>
      <c r="V43" s="527" t="s">
        <v>321</v>
      </c>
      <c r="Y43" s="527" t="s">
        <v>321</v>
      </c>
      <c r="AA43" s="527" t="s">
        <v>321</v>
      </c>
      <c r="AD43" s="527" t="s">
        <v>321</v>
      </c>
      <c r="AF43" s="527" t="s">
        <v>380</v>
      </c>
      <c r="AN43" s="528">
        <v>1.0</v>
      </c>
      <c r="AO43" s="529"/>
    </row>
    <row r="44" ht="15.75" customHeight="1">
      <c r="A44" s="505"/>
      <c r="B44" s="530" t="s">
        <v>383</v>
      </c>
      <c r="G44" s="531" t="s">
        <v>371</v>
      </c>
      <c r="I44" s="531" t="s">
        <v>218</v>
      </c>
      <c r="M44" s="531" t="s">
        <v>368</v>
      </c>
      <c r="P44" s="531" t="s">
        <v>320</v>
      </c>
      <c r="T44" s="532">
        <v>0.0</v>
      </c>
      <c r="V44" s="531" t="s">
        <v>321</v>
      </c>
      <c r="Y44" s="531" t="s">
        <v>321</v>
      </c>
      <c r="AA44" s="531" t="s">
        <v>321</v>
      </c>
      <c r="AD44" s="531" t="s">
        <v>321</v>
      </c>
      <c r="AF44" s="531" t="s">
        <v>376</v>
      </c>
      <c r="AN44" s="532">
        <v>1.0</v>
      </c>
      <c r="AO44" s="533"/>
    </row>
    <row r="45" ht="15.75" customHeight="1">
      <c r="A45" s="505"/>
      <c r="B45" s="526" t="s">
        <v>384</v>
      </c>
      <c r="G45" s="527" t="s">
        <v>325</v>
      </c>
      <c r="I45" s="527" t="s">
        <v>212</v>
      </c>
      <c r="M45" s="527" t="s">
        <v>368</v>
      </c>
      <c r="P45" s="527" t="s">
        <v>320</v>
      </c>
      <c r="T45" s="528">
        <v>0.0</v>
      </c>
      <c r="V45" s="527" t="s">
        <v>321</v>
      </c>
      <c r="Y45" s="527" t="s">
        <v>321</v>
      </c>
      <c r="AA45" s="527" t="s">
        <v>321</v>
      </c>
      <c r="AD45" s="527" t="s">
        <v>321</v>
      </c>
      <c r="AF45" s="527" t="s">
        <v>376</v>
      </c>
      <c r="AN45" s="528">
        <v>1.0</v>
      </c>
      <c r="AO45" s="529"/>
    </row>
    <row r="46" ht="15.75" customHeight="1">
      <c r="A46" s="505"/>
      <c r="B46" s="530" t="s">
        <v>385</v>
      </c>
      <c r="G46" s="531" t="s">
        <v>379</v>
      </c>
      <c r="I46" s="531" t="s">
        <v>213</v>
      </c>
      <c r="M46" s="531" t="s">
        <v>368</v>
      </c>
      <c r="P46" s="531" t="s">
        <v>320</v>
      </c>
      <c r="T46" s="532">
        <v>0.0</v>
      </c>
      <c r="V46" s="531" t="s">
        <v>321</v>
      </c>
      <c r="Y46" s="531" t="s">
        <v>321</v>
      </c>
      <c r="AA46" s="531" t="s">
        <v>321</v>
      </c>
      <c r="AD46" s="531" t="s">
        <v>321</v>
      </c>
      <c r="AF46" s="531" t="s">
        <v>386</v>
      </c>
      <c r="AN46" s="532">
        <v>1.0</v>
      </c>
      <c r="AO46" s="533"/>
    </row>
    <row r="47" ht="15.75" customHeight="1">
      <c r="A47" s="505"/>
      <c r="B47" s="526" t="s">
        <v>387</v>
      </c>
      <c r="G47" s="527" t="s">
        <v>336</v>
      </c>
      <c r="I47" s="527" t="s">
        <v>218</v>
      </c>
      <c r="M47" s="527" t="s">
        <v>368</v>
      </c>
      <c r="P47" s="527" t="s">
        <v>320</v>
      </c>
      <c r="T47" s="528">
        <v>0.0</v>
      </c>
      <c r="V47" s="527" t="s">
        <v>321</v>
      </c>
      <c r="Y47" s="527" t="s">
        <v>321</v>
      </c>
      <c r="AA47" s="527" t="s">
        <v>321</v>
      </c>
      <c r="AD47" s="527" t="s">
        <v>321</v>
      </c>
      <c r="AF47" s="527" t="s">
        <v>369</v>
      </c>
      <c r="AN47" s="528">
        <v>1.0</v>
      </c>
      <c r="AO47" s="529"/>
    </row>
    <row r="48" ht="15.75" customHeight="1">
      <c r="A48" s="505"/>
      <c r="B48" s="530" t="s">
        <v>388</v>
      </c>
      <c r="G48" s="531" t="s">
        <v>371</v>
      </c>
      <c r="I48" s="531" t="s">
        <v>218</v>
      </c>
      <c r="M48" s="531" t="s">
        <v>368</v>
      </c>
      <c r="P48" s="531" t="s">
        <v>320</v>
      </c>
      <c r="T48" s="532">
        <v>0.0</v>
      </c>
      <c r="V48" s="531" t="s">
        <v>321</v>
      </c>
      <c r="Y48" s="531" t="s">
        <v>321</v>
      </c>
      <c r="AA48" s="531" t="s">
        <v>321</v>
      </c>
      <c r="AD48" s="531" t="s">
        <v>321</v>
      </c>
      <c r="AF48" s="531" t="s">
        <v>369</v>
      </c>
      <c r="AN48" s="532">
        <v>1.0</v>
      </c>
      <c r="AO48" s="533"/>
    </row>
    <row r="49" ht="15.75" customHeight="1">
      <c r="A49" s="505"/>
      <c r="B49" s="526" t="s">
        <v>389</v>
      </c>
      <c r="G49" s="527" t="s">
        <v>336</v>
      </c>
      <c r="I49" s="527" t="s">
        <v>218</v>
      </c>
      <c r="M49" s="527" t="s">
        <v>368</v>
      </c>
      <c r="P49" s="527" t="s">
        <v>320</v>
      </c>
      <c r="T49" s="528">
        <v>0.0</v>
      </c>
      <c r="V49" s="527" t="s">
        <v>321</v>
      </c>
      <c r="Y49" s="527" t="s">
        <v>321</v>
      </c>
      <c r="AA49" s="527" t="s">
        <v>321</v>
      </c>
      <c r="AD49" s="527" t="s">
        <v>321</v>
      </c>
      <c r="AF49" s="527" t="s">
        <v>369</v>
      </c>
      <c r="AN49" s="528">
        <f>if(twoWeaponFighting,1,0)</f>
        <v>0</v>
      </c>
      <c r="AO49" s="529"/>
    </row>
    <row r="50" ht="15.75" customHeight="1">
      <c r="A50" s="505"/>
      <c r="B50" s="530" t="s">
        <v>390</v>
      </c>
      <c r="G50" s="531" t="s">
        <v>382</v>
      </c>
      <c r="I50" s="531" t="s">
        <v>212</v>
      </c>
      <c r="M50" s="531" t="s">
        <v>368</v>
      </c>
      <c r="P50" s="531" t="s">
        <v>320</v>
      </c>
      <c r="T50" s="532">
        <v>0.0</v>
      </c>
      <c r="V50" s="531" t="s">
        <v>321</v>
      </c>
      <c r="Y50" s="531" t="s">
        <v>321</v>
      </c>
      <c r="AA50" s="531" t="s">
        <v>321</v>
      </c>
      <c r="AD50" s="531" t="s">
        <v>321</v>
      </c>
      <c r="AF50" s="531" t="s">
        <v>380</v>
      </c>
      <c r="AN50" s="532">
        <v>1.0</v>
      </c>
      <c r="AO50" s="533"/>
    </row>
    <row r="51" ht="15.75" customHeight="1">
      <c r="A51" s="505"/>
      <c r="B51" s="526" t="s">
        <v>391</v>
      </c>
      <c r="G51" s="527" t="s">
        <v>336</v>
      </c>
      <c r="I51" s="527" t="s">
        <v>213</v>
      </c>
      <c r="M51" s="527" t="s">
        <v>368</v>
      </c>
      <c r="P51" s="527" t="s">
        <v>320</v>
      </c>
      <c r="T51" s="528">
        <v>0.0</v>
      </c>
      <c r="V51" s="527" t="s">
        <v>321</v>
      </c>
      <c r="Y51" s="527" t="s">
        <v>321</v>
      </c>
      <c r="AA51" s="527" t="s">
        <v>321</v>
      </c>
      <c r="AD51" s="527" t="s">
        <v>321</v>
      </c>
      <c r="AF51" s="527" t="s">
        <v>321</v>
      </c>
      <c r="AN51" s="528">
        <v>1.0</v>
      </c>
      <c r="AO51" s="529"/>
    </row>
    <row r="52" ht="15.75" customHeight="1">
      <c r="A52" s="505"/>
      <c r="B52" s="530" t="s">
        <v>392</v>
      </c>
      <c r="G52" s="531" t="s">
        <v>336</v>
      </c>
      <c r="I52" s="531" t="s">
        <v>213</v>
      </c>
      <c r="M52" s="531" t="s">
        <v>368</v>
      </c>
      <c r="P52" s="531" t="s">
        <v>320</v>
      </c>
      <c r="T52" s="532">
        <v>0.0</v>
      </c>
      <c r="V52" s="531" t="s">
        <v>321</v>
      </c>
      <c r="Y52" s="531" t="s">
        <v>321</v>
      </c>
      <c r="AA52" s="531" t="s">
        <v>321</v>
      </c>
      <c r="AD52" s="531" t="s">
        <v>321</v>
      </c>
      <c r="AF52" s="531" t="s">
        <v>321</v>
      </c>
      <c r="AN52" s="532">
        <f>if(twoWeaponFighting,1,0)</f>
        <v>0</v>
      </c>
      <c r="AO52" s="533"/>
    </row>
    <row r="53" ht="15.75" customHeight="1">
      <c r="A53" s="505"/>
      <c r="B53" s="526" t="s">
        <v>393</v>
      </c>
      <c r="G53" s="527" t="s">
        <v>371</v>
      </c>
      <c r="I53" s="527" t="s">
        <v>213</v>
      </c>
      <c r="M53" s="527" t="s">
        <v>368</v>
      </c>
      <c r="P53" s="527" t="s">
        <v>320</v>
      </c>
      <c r="T53" s="528">
        <v>0.0</v>
      </c>
      <c r="V53" s="527" t="s">
        <v>321</v>
      </c>
      <c r="Y53" s="527" t="s">
        <v>321</v>
      </c>
      <c r="AA53" s="527" t="s">
        <v>321</v>
      </c>
      <c r="AD53" s="527" t="s">
        <v>321</v>
      </c>
      <c r="AF53" s="527" t="s">
        <v>376</v>
      </c>
      <c r="AN53" s="528">
        <v>1.0</v>
      </c>
      <c r="AO53" s="529"/>
    </row>
    <row r="54" ht="15.75" customHeight="1">
      <c r="A54" s="505"/>
      <c r="B54" s="530" t="s">
        <v>394</v>
      </c>
      <c r="G54" s="531" t="s">
        <v>325</v>
      </c>
      <c r="I54" s="531" t="s">
        <v>212</v>
      </c>
      <c r="M54" s="531" t="s">
        <v>368</v>
      </c>
      <c r="P54" s="531" t="s">
        <v>320</v>
      </c>
      <c r="T54" s="532">
        <v>0.0</v>
      </c>
      <c r="V54" s="531" t="s">
        <v>321</v>
      </c>
      <c r="Y54" s="531" t="s">
        <v>321</v>
      </c>
      <c r="AA54" s="531" t="s">
        <v>321</v>
      </c>
      <c r="AD54" s="531" t="s">
        <v>321</v>
      </c>
      <c r="AF54" s="531" t="s">
        <v>376</v>
      </c>
      <c r="AN54" s="532">
        <v>1.0</v>
      </c>
      <c r="AO54" s="533"/>
    </row>
    <row r="55" ht="15.75" customHeight="1">
      <c r="A55" s="505"/>
      <c r="B55" s="526" t="s">
        <v>395</v>
      </c>
      <c r="G55" s="527" t="s">
        <v>336</v>
      </c>
      <c r="I55" s="527" t="s">
        <v>213</v>
      </c>
      <c r="M55" s="527" t="s">
        <v>368</v>
      </c>
      <c r="P55" s="527" t="s">
        <v>320</v>
      </c>
      <c r="T55" s="528">
        <v>0.0</v>
      </c>
      <c r="V55" s="527" t="s">
        <v>321</v>
      </c>
      <c r="Y55" s="527" t="s">
        <v>321</v>
      </c>
      <c r="AA55" s="527" t="s">
        <v>321</v>
      </c>
      <c r="AD55" s="527" t="s">
        <v>321</v>
      </c>
      <c r="AF55" s="527" t="s">
        <v>396</v>
      </c>
      <c r="AN55" s="528">
        <v>1.0</v>
      </c>
      <c r="AO55" s="529"/>
    </row>
    <row r="56" ht="15.75" customHeight="1">
      <c r="A56" s="505"/>
      <c r="B56" s="530" t="s">
        <v>397</v>
      </c>
      <c r="G56" s="531" t="s">
        <v>336</v>
      </c>
      <c r="I56" s="531" t="s">
        <v>213</v>
      </c>
      <c r="M56" s="531" t="s">
        <v>368</v>
      </c>
      <c r="P56" s="531" t="s">
        <v>320</v>
      </c>
      <c r="T56" s="532">
        <v>0.0</v>
      </c>
      <c r="V56" s="531" t="s">
        <v>321</v>
      </c>
      <c r="Y56" s="531" t="s">
        <v>321</v>
      </c>
      <c r="AA56" s="531" t="s">
        <v>321</v>
      </c>
      <c r="AD56" s="531" t="s">
        <v>321</v>
      </c>
      <c r="AF56" s="531" t="s">
        <v>396</v>
      </c>
      <c r="AN56" s="532">
        <f>if(twoWeaponFighting,1,0)</f>
        <v>0</v>
      </c>
      <c r="AO56" s="533"/>
    </row>
    <row r="57" ht="15.75" customHeight="1">
      <c r="A57" s="505"/>
      <c r="B57" s="526" t="s">
        <v>398</v>
      </c>
      <c r="G57" s="527" t="s">
        <v>363</v>
      </c>
      <c r="I57" s="527" t="s">
        <v>218</v>
      </c>
      <c r="M57" s="527" t="s">
        <v>368</v>
      </c>
      <c r="P57" s="527" t="s">
        <v>320</v>
      </c>
      <c r="T57" s="528">
        <v>0.0</v>
      </c>
      <c r="V57" s="527" t="s">
        <v>321</v>
      </c>
      <c r="Y57" s="527" t="s">
        <v>321</v>
      </c>
      <c r="AA57" s="527" t="s">
        <v>321</v>
      </c>
      <c r="AD57" s="527" t="s">
        <v>321</v>
      </c>
      <c r="AF57" s="527" t="s">
        <v>399</v>
      </c>
      <c r="AN57" s="528">
        <v>1.0</v>
      </c>
      <c r="AO57" s="529"/>
    </row>
    <row r="58" ht="15.75" customHeight="1">
      <c r="A58" s="505"/>
      <c r="B58" s="530" t="s">
        <v>400</v>
      </c>
      <c r="G58" s="531" t="s">
        <v>363</v>
      </c>
      <c r="I58" s="531" t="s">
        <v>218</v>
      </c>
      <c r="M58" s="531" t="s">
        <v>368</v>
      </c>
      <c r="P58" s="531" t="s">
        <v>320</v>
      </c>
      <c r="T58" s="532">
        <v>0.0</v>
      </c>
      <c r="V58" s="531" t="s">
        <v>321</v>
      </c>
      <c r="Y58" s="531" t="s">
        <v>321</v>
      </c>
      <c r="AA58" s="531" t="s">
        <v>321</v>
      </c>
      <c r="AD58" s="531" t="s">
        <v>321</v>
      </c>
      <c r="AF58" s="531" t="s">
        <v>399</v>
      </c>
      <c r="AN58" s="532">
        <f>if(twoWeaponFighting,1,0)</f>
        <v>0</v>
      </c>
      <c r="AO58" s="533"/>
    </row>
    <row r="59" ht="15.75" customHeight="1">
      <c r="A59" s="505"/>
      <c r="B59" s="526" t="s">
        <v>401</v>
      </c>
      <c r="G59" s="527" t="str">
        <f>"1d"&amp;max(6,4+floor((MonkLevel+1)/6,1)*2)</f>
        <v>1d6</v>
      </c>
      <c r="I59" s="527" t="s">
        <v>213</v>
      </c>
      <c r="M59" s="527" t="s">
        <v>368</v>
      </c>
      <c r="P59" s="527" t="s">
        <v>320</v>
      </c>
      <c r="T59" s="528">
        <v>1.0</v>
      </c>
      <c r="V59" s="527" t="s">
        <v>321</v>
      </c>
      <c r="Y59" s="527" t="s">
        <v>321</v>
      </c>
      <c r="AA59" s="527" t="s">
        <v>321</v>
      </c>
      <c r="AD59" s="527" t="s">
        <v>321</v>
      </c>
      <c r="AF59" s="527" t="s">
        <v>399</v>
      </c>
      <c r="AN59" s="528">
        <v>1.0</v>
      </c>
      <c r="AO59" s="529"/>
    </row>
    <row r="60" ht="15.75" customHeight="1">
      <c r="A60" s="505"/>
      <c r="B60" s="530" t="s">
        <v>402</v>
      </c>
      <c r="G60" s="531" t="str">
        <f>"1d"&amp;max(6,4+floor((MonkLevel+1)/6,1)*2)</f>
        <v>1d6</v>
      </c>
      <c r="I60" s="531" t="s">
        <v>213</v>
      </c>
      <c r="M60" s="531" t="s">
        <v>368</v>
      </c>
      <c r="P60" s="531" t="s">
        <v>320</v>
      </c>
      <c r="T60" s="532">
        <v>1.0</v>
      </c>
      <c r="V60" s="531" t="s">
        <v>321</v>
      </c>
      <c r="Y60" s="531" t="s">
        <v>321</v>
      </c>
      <c r="AA60" s="531" t="s">
        <v>321</v>
      </c>
      <c r="AD60" s="531" t="s">
        <v>321</v>
      </c>
      <c r="AF60" s="531" t="s">
        <v>399</v>
      </c>
      <c r="AN60" s="532">
        <f>if(twoWeaponFighting,1,0)</f>
        <v>0</v>
      </c>
      <c r="AO60" s="533"/>
    </row>
    <row r="61" ht="15.75" customHeight="1">
      <c r="A61" s="505"/>
      <c r="B61" s="526" t="s">
        <v>403</v>
      </c>
      <c r="G61" s="527" t="s">
        <v>363</v>
      </c>
      <c r="I61" s="527" t="s">
        <v>213</v>
      </c>
      <c r="M61" s="527" t="s">
        <v>368</v>
      </c>
      <c r="P61" s="527" t="s">
        <v>327</v>
      </c>
      <c r="T61" s="528">
        <v>0.0</v>
      </c>
      <c r="V61" s="527" t="s">
        <v>321</v>
      </c>
      <c r="Y61" s="527" t="s">
        <v>321</v>
      </c>
      <c r="AA61" s="527" t="s">
        <v>321</v>
      </c>
      <c r="AD61" s="527" t="s">
        <v>321</v>
      </c>
      <c r="AF61" s="527" t="s">
        <v>354</v>
      </c>
      <c r="AN61" s="528">
        <v>1.0</v>
      </c>
      <c r="AO61" s="529"/>
    </row>
    <row r="62" ht="15.75" customHeight="1">
      <c r="A62" s="505"/>
      <c r="B62" s="530" t="s">
        <v>404</v>
      </c>
      <c r="G62" s="531" t="s">
        <v>336</v>
      </c>
      <c r="I62" s="531" t="s">
        <v>213</v>
      </c>
      <c r="M62" s="531" t="s">
        <v>368</v>
      </c>
      <c r="P62" s="531" t="s">
        <v>320</v>
      </c>
      <c r="T62" s="532">
        <v>0.0</v>
      </c>
      <c r="V62" s="531" t="s">
        <v>321</v>
      </c>
      <c r="Y62" s="531" t="s">
        <v>321</v>
      </c>
      <c r="AA62" s="531" t="s">
        <v>321</v>
      </c>
      <c r="AD62" s="531" t="s">
        <v>321</v>
      </c>
      <c r="AF62" s="531" t="s">
        <v>354</v>
      </c>
      <c r="AN62" s="532">
        <v>1.0</v>
      </c>
      <c r="AO62" s="533"/>
    </row>
    <row r="63" ht="15.75" customHeight="1">
      <c r="A63" s="505"/>
      <c r="B63" s="526" t="s">
        <v>405</v>
      </c>
      <c r="G63" s="527" t="s">
        <v>336</v>
      </c>
      <c r="I63" s="527" t="s">
        <v>213</v>
      </c>
      <c r="M63" s="527" t="s">
        <v>368</v>
      </c>
      <c r="P63" s="527" t="s">
        <v>320</v>
      </c>
      <c r="T63" s="528">
        <v>0.0</v>
      </c>
      <c r="V63" s="527" t="s">
        <v>321</v>
      </c>
      <c r="Y63" s="527" t="s">
        <v>321</v>
      </c>
      <c r="AA63" s="527" t="s">
        <v>321</v>
      </c>
      <c r="AD63" s="527" t="s">
        <v>321</v>
      </c>
      <c r="AF63" s="527" t="s">
        <v>321</v>
      </c>
      <c r="AN63" s="528">
        <v>1.0</v>
      </c>
      <c r="AO63" s="529"/>
    </row>
    <row r="64" ht="15.75" customHeight="1">
      <c r="A64" s="505"/>
      <c r="B64" s="530" t="s">
        <v>406</v>
      </c>
      <c r="G64" s="531" t="s">
        <v>336</v>
      </c>
      <c r="I64" s="531" t="s">
        <v>213</v>
      </c>
      <c r="M64" s="531" t="s">
        <v>368</v>
      </c>
      <c r="P64" s="531" t="s">
        <v>320</v>
      </c>
      <c r="T64" s="532">
        <v>0.0</v>
      </c>
      <c r="V64" s="531" t="s">
        <v>321</v>
      </c>
      <c r="Y64" s="531" t="s">
        <v>321</v>
      </c>
      <c r="AA64" s="531" t="s">
        <v>321</v>
      </c>
      <c r="AD64" s="531" t="s">
        <v>321</v>
      </c>
      <c r="AF64" s="531" t="s">
        <v>321</v>
      </c>
      <c r="AN64" s="532">
        <f>if(twoWeaponFighting,1,0)</f>
        <v>0</v>
      </c>
      <c r="AO64" s="533"/>
    </row>
    <row r="65" ht="15.75" customHeight="1">
      <c r="A65" s="505"/>
      <c r="B65" s="526" t="s">
        <v>407</v>
      </c>
      <c r="G65" s="527" t="s">
        <v>336</v>
      </c>
      <c r="I65" s="527" t="s">
        <v>212</v>
      </c>
      <c r="M65" s="527" t="s">
        <v>368</v>
      </c>
      <c r="P65" s="527" t="s">
        <v>320</v>
      </c>
      <c r="T65" s="528">
        <v>0.0</v>
      </c>
      <c r="V65" s="527" t="s">
        <v>321</v>
      </c>
      <c r="Y65" s="527" t="s">
        <v>321</v>
      </c>
      <c r="AA65" s="527" t="s">
        <v>321</v>
      </c>
      <c r="AD65" s="527" t="s">
        <v>321</v>
      </c>
      <c r="AF65" s="527" t="s">
        <v>369</v>
      </c>
      <c r="AN65" s="528">
        <v>1.0</v>
      </c>
      <c r="AO65" s="529"/>
    </row>
    <row r="66" ht="15.75" customHeight="1">
      <c r="A66" s="505"/>
      <c r="B66" s="530" t="s">
        <v>408</v>
      </c>
      <c r="G66" s="531" t="s">
        <v>371</v>
      </c>
      <c r="I66" s="531" t="s">
        <v>212</v>
      </c>
      <c r="M66" s="531" t="s">
        <v>368</v>
      </c>
      <c r="P66" s="531" t="s">
        <v>320</v>
      </c>
      <c r="T66" s="532">
        <v>0.0</v>
      </c>
      <c r="V66" s="531" t="s">
        <v>321</v>
      </c>
      <c r="Y66" s="531" t="s">
        <v>321</v>
      </c>
      <c r="AA66" s="531" t="s">
        <v>321</v>
      </c>
      <c r="AD66" s="531" t="s">
        <v>321</v>
      </c>
      <c r="AF66" s="531" t="s">
        <v>369</v>
      </c>
      <c r="AN66" s="532">
        <v>1.0</v>
      </c>
      <c r="AO66" s="533"/>
    </row>
    <row r="67" ht="15.75" customHeight="1">
      <c r="A67" s="505"/>
      <c r="B67" s="526" t="s">
        <v>409</v>
      </c>
      <c r="G67" s="527" t="s">
        <v>336</v>
      </c>
      <c r="I67" s="527" t="s">
        <v>212</v>
      </c>
      <c r="M67" s="527" t="s">
        <v>368</v>
      </c>
      <c r="P67" s="527" t="s">
        <v>320</v>
      </c>
      <c r="T67" s="528">
        <v>0.0</v>
      </c>
      <c r="V67" s="527" t="s">
        <v>321</v>
      </c>
      <c r="Y67" s="527" t="s">
        <v>321</v>
      </c>
      <c r="AA67" s="527" t="s">
        <v>321</v>
      </c>
      <c r="AD67" s="527" t="s">
        <v>321</v>
      </c>
      <c r="AF67" s="527" t="s">
        <v>369</v>
      </c>
      <c r="AN67" s="528">
        <f>if(twoWeaponFighting,1,0)</f>
        <v>0</v>
      </c>
      <c r="AO67" s="529"/>
    </row>
    <row r="68" ht="15.75" customHeight="1">
      <c r="A68" s="505"/>
      <c r="B68" s="530" t="s">
        <v>410</v>
      </c>
      <c r="G68" s="531" t="s">
        <v>325</v>
      </c>
      <c r="I68" s="531" t="s">
        <v>218</v>
      </c>
      <c r="M68" s="531" t="s">
        <v>368</v>
      </c>
      <c r="P68" s="531" t="s">
        <v>320</v>
      </c>
      <c r="T68" s="532">
        <v>0.0</v>
      </c>
      <c r="V68" s="531" t="s">
        <v>321</v>
      </c>
      <c r="Y68" s="531" t="s">
        <v>321</v>
      </c>
      <c r="AA68" s="531" t="s">
        <v>321</v>
      </c>
      <c r="AD68" s="531" t="s">
        <v>321</v>
      </c>
      <c r="AF68" s="531" t="s">
        <v>411</v>
      </c>
      <c r="AN68" s="532">
        <v>1.0</v>
      </c>
      <c r="AO68" s="533"/>
    </row>
    <row r="69" ht="15.75" customHeight="1">
      <c r="A69" s="505"/>
      <c r="B69" s="526" t="s">
        <v>412</v>
      </c>
      <c r="G69" s="527">
        <v>1.0</v>
      </c>
      <c r="I69" s="527" t="s">
        <v>213</v>
      </c>
      <c r="M69" s="527" t="s">
        <v>368</v>
      </c>
      <c r="P69" s="527" t="s">
        <v>358</v>
      </c>
      <c r="T69" s="528">
        <v>0.0</v>
      </c>
      <c r="V69" s="527" t="s">
        <v>321</v>
      </c>
      <c r="Y69" s="527" t="s">
        <v>321</v>
      </c>
      <c r="AA69" s="527" t="s">
        <v>321</v>
      </c>
      <c r="AD69" s="527" t="s">
        <v>321</v>
      </c>
      <c r="AF69" s="527" t="s">
        <v>413</v>
      </c>
      <c r="AN69" s="528">
        <v>1.0</v>
      </c>
      <c r="AO69" s="529"/>
    </row>
    <row r="70" ht="15.75" customHeight="1">
      <c r="A70" s="505"/>
      <c r="B70" s="530" t="s">
        <v>414</v>
      </c>
      <c r="G70" s="531" t="s">
        <v>363</v>
      </c>
      <c r="I70" s="531" t="s">
        <v>213</v>
      </c>
      <c r="M70" s="531" t="s">
        <v>368</v>
      </c>
      <c r="P70" s="531" t="s">
        <v>358</v>
      </c>
      <c r="T70" s="532">
        <v>0.0</v>
      </c>
      <c r="V70" s="531" t="s">
        <v>321</v>
      </c>
      <c r="Y70" s="531" t="s">
        <v>321</v>
      </c>
      <c r="AA70" s="531" t="s">
        <v>321</v>
      </c>
      <c r="AD70" s="531" t="s">
        <v>321</v>
      </c>
      <c r="AF70" s="531" t="s">
        <v>415</v>
      </c>
      <c r="AN70" s="532">
        <v>1.0</v>
      </c>
      <c r="AO70" s="533"/>
    </row>
    <row r="71" ht="15.75" customHeight="1">
      <c r="A71" s="505"/>
      <c r="B71" s="526" t="s">
        <v>416</v>
      </c>
      <c r="G71" s="527" t="s">
        <v>371</v>
      </c>
      <c r="I71" s="527" t="s">
        <v>213</v>
      </c>
      <c r="M71" s="527" t="s">
        <v>368</v>
      </c>
      <c r="P71" s="527" t="s">
        <v>358</v>
      </c>
      <c r="T71" s="528">
        <v>0.0</v>
      </c>
      <c r="V71" s="527" t="s">
        <v>321</v>
      </c>
      <c r="Y71" s="527" t="s">
        <v>321</v>
      </c>
      <c r="AA71" s="527" t="s">
        <v>321</v>
      </c>
      <c r="AD71" s="527" t="s">
        <v>321</v>
      </c>
      <c r="AF71" s="527" t="s">
        <v>417</v>
      </c>
      <c r="AN71" s="528">
        <v>1.0</v>
      </c>
      <c r="AO71" s="529"/>
    </row>
    <row r="72" ht="15.75" customHeight="1">
      <c r="A72" s="505"/>
      <c r="B72" s="530" t="s">
        <v>418</v>
      </c>
      <c r="G72" s="531" t="s">
        <v>336</v>
      </c>
      <c r="I72" s="531" t="s">
        <v>213</v>
      </c>
      <c r="M72" s="531" t="s">
        <v>368</v>
      </c>
      <c r="P72" s="531" t="s">
        <v>358</v>
      </c>
      <c r="T72" s="532">
        <v>0.0</v>
      </c>
      <c r="V72" s="531" t="s">
        <v>321</v>
      </c>
      <c r="Y72" s="531" t="s">
        <v>321</v>
      </c>
      <c r="AA72" s="531" t="s">
        <v>321</v>
      </c>
      <c r="AD72" s="531" t="s">
        <v>321</v>
      </c>
      <c r="AF72" s="531" t="s">
        <v>419</v>
      </c>
      <c r="AN72" s="532">
        <v>1.0</v>
      </c>
      <c r="AO72" s="533"/>
    </row>
    <row r="73" ht="15.75" customHeight="1">
      <c r="A73" s="505"/>
      <c r="B73" s="526" t="s">
        <v>420</v>
      </c>
      <c r="G73" s="527">
        <v>0.0</v>
      </c>
      <c r="I73" s="527" t="s">
        <v>321</v>
      </c>
      <c r="M73" s="527" t="s">
        <v>368</v>
      </c>
      <c r="P73" s="527" t="s">
        <v>358</v>
      </c>
      <c r="T73" s="528">
        <v>0.0</v>
      </c>
      <c r="V73" s="527" t="s">
        <v>321</v>
      </c>
      <c r="Y73" s="527" t="s">
        <v>321</v>
      </c>
      <c r="AA73" s="527" t="s">
        <v>321</v>
      </c>
      <c r="AD73" s="527" t="s">
        <v>321</v>
      </c>
      <c r="AF73" s="527" t="s">
        <v>421</v>
      </c>
      <c r="AN73" s="528">
        <v>0.0</v>
      </c>
      <c r="AO73" s="529"/>
    </row>
    <row r="74" ht="15.75" customHeight="1">
      <c r="A74" s="505"/>
      <c r="B74" s="530" t="s">
        <v>422</v>
      </c>
      <c r="G74" s="531" t="s">
        <v>371</v>
      </c>
      <c r="I74" s="531" t="s">
        <v>222</v>
      </c>
      <c r="M74" s="531" t="s">
        <v>423</v>
      </c>
      <c r="P74" s="531" t="s">
        <v>358</v>
      </c>
      <c r="T74" s="532">
        <v>0.0</v>
      </c>
      <c r="V74" s="531" t="s">
        <v>321</v>
      </c>
      <c r="Y74" s="531" t="s">
        <v>321</v>
      </c>
      <c r="AA74" s="531" t="s">
        <v>321</v>
      </c>
      <c r="AD74" s="531" t="str">
        <f>if(castingAbility="","cha",left(lower(castingAbility),3))</f>
        <v>-</v>
      </c>
      <c r="AF74" s="531" t="str">
        <f>"Make a ranged spell attack against the target. On a hit, the target takes 1d10 force damage."&amp;if(level&gt;4,"
The spell creates "&amp;floor((v2.1!$AL$6+7)/6,1)&amp;" beams. You can direct the beams at the same target or at different ones. Make a separate attack roll for each beam.","")</f>
        <v>Make a ranged spell attack against the target. On a hit, the target takes 1d10 force damage.
The spell creates 1 beams. You can direct the beams at the same target or at different ones. Make a separate attack roll for each beam.</v>
      </c>
      <c r="AN74" s="532">
        <f>if(isnumber(find("agonizing blast",invocations)),1,0)</f>
        <v>0</v>
      </c>
      <c r="AO74" s="533"/>
    </row>
    <row r="75" ht="15.75" customHeight="1">
      <c r="A75" s="505"/>
      <c r="B75" s="526" t="s">
        <v>424</v>
      </c>
      <c r="G75" s="527" t="str">
        <f>"1d"&amp;4+floor((MonkLevel+1)/6,1)*2</f>
        <v>1d4</v>
      </c>
      <c r="I75" s="534" t="s">
        <v>425</v>
      </c>
      <c r="M75" s="527" t="s">
        <v>329</v>
      </c>
      <c r="P75" s="527" t="s">
        <v>327</v>
      </c>
      <c r="T75" s="528">
        <v>1.0</v>
      </c>
      <c r="V75" s="527">
        <v>1.0</v>
      </c>
      <c r="Y75" s="527" t="s">
        <v>321</v>
      </c>
      <c r="AA75" s="527" t="s">
        <v>321</v>
      </c>
      <c r="AD75" s="527" t="s">
        <v>321</v>
      </c>
      <c r="AF75" s="527" t="s">
        <v>333</v>
      </c>
      <c r="AN75" s="528">
        <v>1.0</v>
      </c>
      <c r="AO75" s="529"/>
    </row>
    <row r="76" ht="15.75" customHeight="1">
      <c r="A76" s="505"/>
      <c r="B76" s="530" t="s">
        <v>426</v>
      </c>
      <c r="G76" s="531" t="str">
        <f>"1d"&amp;4+floor((MonkLevel+1)/6,1)*2</f>
        <v>1d4</v>
      </c>
      <c r="I76" s="535" t="s">
        <v>425</v>
      </c>
      <c r="M76" s="531" t="s">
        <v>329</v>
      </c>
      <c r="P76" s="531" t="s">
        <v>327</v>
      </c>
      <c r="T76" s="532">
        <v>1.0</v>
      </c>
      <c r="V76" s="531">
        <v>1.0</v>
      </c>
      <c r="Y76" s="531" t="s">
        <v>321</v>
      </c>
      <c r="AA76" s="531" t="s">
        <v>321</v>
      </c>
      <c r="AD76" s="531" t="s">
        <v>321</v>
      </c>
      <c r="AF76" s="531" t="s">
        <v>333</v>
      </c>
      <c r="AN76" s="532">
        <f>if(twoWeaponFighting,1,0)</f>
        <v>0</v>
      </c>
      <c r="AO76" s="533"/>
    </row>
    <row r="77" ht="15.75" customHeight="1">
      <c r="A77" s="505"/>
      <c r="B77" s="526" t="s">
        <v>427</v>
      </c>
      <c r="G77" s="527" t="s">
        <v>336</v>
      </c>
      <c r="I77" s="534" t="s">
        <v>428</v>
      </c>
      <c r="M77" s="527" t="s">
        <v>368</v>
      </c>
      <c r="P77" s="527" t="s">
        <v>320</v>
      </c>
      <c r="T77" s="528">
        <v>0.0</v>
      </c>
      <c r="V77" s="527" t="s">
        <v>321</v>
      </c>
      <c r="Y77" s="527" t="s">
        <v>382</v>
      </c>
      <c r="AA77" s="527" t="s">
        <v>221</v>
      </c>
      <c r="AD77" s="527" t="s">
        <v>321</v>
      </c>
      <c r="AF77" s="527" t="s">
        <v>429</v>
      </c>
      <c r="AN77" s="528">
        <v>1.0</v>
      </c>
      <c r="AO77" s="529"/>
    </row>
    <row r="78" ht="15.75" customHeight="1">
      <c r="A78" s="505"/>
      <c r="B78" s="530" t="s">
        <v>430</v>
      </c>
      <c r="G78" s="531" t="s">
        <v>371</v>
      </c>
      <c r="I78" s="535" t="s">
        <v>428</v>
      </c>
      <c r="M78" s="531" t="s">
        <v>368</v>
      </c>
      <c r="P78" s="531" t="s">
        <v>320</v>
      </c>
      <c r="T78" s="532">
        <v>0.0</v>
      </c>
      <c r="V78" s="531" t="s">
        <v>321</v>
      </c>
      <c r="Y78" s="531" t="s">
        <v>382</v>
      </c>
      <c r="AA78" s="531" t="s">
        <v>221</v>
      </c>
      <c r="AD78" s="531" t="s">
        <v>321</v>
      </c>
      <c r="AF78" s="531" t="s">
        <v>429</v>
      </c>
      <c r="AN78" s="532">
        <v>1.0</v>
      </c>
      <c r="AO78" s="533"/>
    </row>
    <row r="79" ht="15.75" customHeight="1">
      <c r="A79" s="505"/>
      <c r="B79" s="526" t="s">
        <v>431</v>
      </c>
      <c r="G79" s="527" t="str">
        <f>floor((v2.1!$AL$6+7)/6,1)&amp;"d10"</f>
        <v>1d10</v>
      </c>
      <c r="I79" s="527" t="s">
        <v>221</v>
      </c>
      <c r="M79" s="527" t="s">
        <v>423</v>
      </c>
      <c r="P79" s="527" t="s">
        <v>358</v>
      </c>
      <c r="T79" s="528">
        <v>0.0</v>
      </c>
      <c r="V79" s="527" t="s">
        <v>321</v>
      </c>
      <c r="Y79" s="527" t="s">
        <v>321</v>
      </c>
      <c r="AA79" s="527" t="s">
        <v>321</v>
      </c>
      <c r="AD79" s="527" t="str">
        <f>if(castingAbility="-","int",left(lower(castingAbility),3))</f>
        <v>int</v>
      </c>
      <c r="AF79" s="527" t="str">
        <f>"On a hit, the target takes "&amp;floor((v2.1!$AL$6+7)/6,1)&amp;"d10 fire damage. A flammable object hit by this spell ignites if it isn't being worn or carried."</f>
        <v>On a hit, the target takes 1d10 fire damage. A flammable object hit by this spell ignites if it isn't being worn or carried.</v>
      </c>
      <c r="AN79" s="528">
        <v>0.0</v>
      </c>
      <c r="AO79" s="529"/>
    </row>
    <row r="80" ht="15.75" customHeight="1">
      <c r="A80" s="505"/>
      <c r="B80" s="530" t="s">
        <v>432</v>
      </c>
      <c r="G80" s="531" t="s">
        <v>336</v>
      </c>
      <c r="I80" s="535" t="s">
        <v>425</v>
      </c>
      <c r="M80" s="531" t="s">
        <v>368</v>
      </c>
      <c r="P80" s="531" t="s">
        <v>320</v>
      </c>
      <c r="T80" s="532">
        <v>0.0</v>
      </c>
      <c r="V80" s="531">
        <v>1.0</v>
      </c>
      <c r="Y80" s="531" t="s">
        <v>321</v>
      </c>
      <c r="AA80" s="531" t="s">
        <v>321</v>
      </c>
      <c r="AD80" s="531" t="s">
        <v>321</v>
      </c>
      <c r="AF80" s="531" t="s">
        <v>433</v>
      </c>
      <c r="AN80" s="532">
        <v>1.0</v>
      </c>
      <c r="AO80" s="533"/>
    </row>
    <row r="81" ht="15.75" customHeight="1">
      <c r="A81" s="505"/>
      <c r="B81" s="526" t="s">
        <v>434</v>
      </c>
      <c r="G81" s="527" t="s">
        <v>382</v>
      </c>
      <c r="I81" s="534" t="s">
        <v>435</v>
      </c>
      <c r="M81" s="527" t="s">
        <v>368</v>
      </c>
      <c r="P81" s="527" t="s">
        <v>320</v>
      </c>
      <c r="T81" s="528">
        <v>0.0</v>
      </c>
      <c r="V81" s="527">
        <v>1.0</v>
      </c>
      <c r="Y81" s="527" t="s">
        <v>321</v>
      </c>
      <c r="AA81" s="527" t="s">
        <v>321</v>
      </c>
      <c r="AD81" s="527" t="s">
        <v>321</v>
      </c>
      <c r="AF81" s="527" t="s">
        <v>436</v>
      </c>
      <c r="AN81" s="528">
        <v>1.0</v>
      </c>
      <c r="AO81" s="529"/>
    </row>
    <row r="82" ht="15.75" customHeight="1">
      <c r="A82" s="505"/>
      <c r="B82" s="530" t="s">
        <v>437</v>
      </c>
      <c r="G82" s="531" t="s">
        <v>336</v>
      </c>
      <c r="I82" s="535" t="s">
        <v>425</v>
      </c>
      <c r="M82" s="531" t="s">
        <v>368</v>
      </c>
      <c r="P82" s="531" t="s">
        <v>358</v>
      </c>
      <c r="T82" s="532">
        <v>0.0</v>
      </c>
      <c r="V82" s="531">
        <v>1.0</v>
      </c>
      <c r="Y82" s="531" t="s">
        <v>321</v>
      </c>
      <c r="AA82" s="531" t="s">
        <v>321</v>
      </c>
      <c r="AD82" s="531" t="s">
        <v>321</v>
      </c>
      <c r="AF82" s="531" t="s">
        <v>419</v>
      </c>
      <c r="AN82" s="532">
        <v>1.0</v>
      </c>
      <c r="AO82" s="533"/>
    </row>
    <row r="83" ht="15.75" customHeight="1">
      <c r="A83" s="505"/>
      <c r="B83" s="536" t="s">
        <v>438</v>
      </c>
      <c r="G83" s="534" t="s">
        <v>336</v>
      </c>
      <c r="I83" s="534" t="s">
        <v>439</v>
      </c>
      <c r="M83" s="534" t="s">
        <v>368</v>
      </c>
      <c r="P83" s="534" t="s">
        <v>320</v>
      </c>
      <c r="T83" s="528">
        <v>0.0</v>
      </c>
      <c r="V83" s="534" t="s">
        <v>321</v>
      </c>
      <c r="Y83" s="534" t="s">
        <v>321</v>
      </c>
      <c r="AA83" s="534" t="s">
        <v>321</v>
      </c>
      <c r="AD83" s="534" t="s">
        <v>321</v>
      </c>
      <c r="AF83" s="534" t="s">
        <v>396</v>
      </c>
      <c r="AN83" s="537">
        <v>1.0</v>
      </c>
      <c r="AO83" s="529"/>
    </row>
    <row r="84" ht="15.75" customHeight="1">
      <c r="A84" s="505"/>
      <c r="B84" s="538"/>
      <c r="G84" s="531"/>
      <c r="I84" s="531"/>
      <c r="M84" s="531"/>
      <c r="P84" s="531"/>
      <c r="T84" s="532">
        <v>0.0</v>
      </c>
      <c r="V84" s="531"/>
      <c r="Y84" s="531"/>
      <c r="AA84" s="531"/>
      <c r="AD84" s="531"/>
      <c r="AF84" s="531"/>
      <c r="AN84" s="532">
        <v>0.0</v>
      </c>
      <c r="AO84" s="533"/>
    </row>
    <row r="85" ht="15.75" customHeight="1">
      <c r="A85" s="505"/>
      <c r="B85" s="526"/>
      <c r="G85" s="527"/>
      <c r="I85" s="527"/>
      <c r="M85" s="527"/>
      <c r="P85" s="527"/>
      <c r="T85" s="528">
        <v>0.0</v>
      </c>
      <c r="V85" s="527"/>
      <c r="Y85" s="527"/>
      <c r="AA85" s="527"/>
      <c r="AD85" s="527"/>
      <c r="AF85" s="527"/>
      <c r="AN85" s="528">
        <v>0.0</v>
      </c>
      <c r="AO85" s="529"/>
    </row>
    <row r="86" ht="15.75" customHeight="1">
      <c r="A86" s="505"/>
      <c r="B86" s="530"/>
      <c r="G86" s="531"/>
      <c r="I86" s="531"/>
      <c r="M86" s="531"/>
      <c r="P86" s="531"/>
      <c r="T86" s="532">
        <v>0.0</v>
      </c>
      <c r="V86" s="531"/>
      <c r="Y86" s="531"/>
      <c r="AA86" s="531"/>
      <c r="AD86" s="531"/>
      <c r="AF86" s="531"/>
      <c r="AN86" s="532">
        <v>0.0</v>
      </c>
      <c r="AO86" s="533"/>
    </row>
    <row r="87" ht="15.75" customHeight="1">
      <c r="A87" s="505"/>
      <c r="B87" s="526"/>
      <c r="G87" s="527"/>
      <c r="I87" s="527"/>
      <c r="M87" s="527"/>
      <c r="P87" s="527"/>
      <c r="T87" s="528">
        <v>0.0</v>
      </c>
      <c r="V87" s="527"/>
      <c r="Y87" s="527"/>
      <c r="AA87" s="527"/>
      <c r="AD87" s="527"/>
      <c r="AF87" s="527"/>
      <c r="AN87" s="528">
        <v>0.0</v>
      </c>
      <c r="AO87" s="529"/>
    </row>
    <row r="88" ht="15.75" customHeight="1">
      <c r="A88" s="505"/>
      <c r="B88" s="530"/>
      <c r="G88" s="531"/>
      <c r="I88" s="531"/>
      <c r="M88" s="531"/>
      <c r="P88" s="531"/>
      <c r="T88" s="532">
        <v>0.0</v>
      </c>
      <c r="V88" s="531"/>
      <c r="Y88" s="531"/>
      <c r="AA88" s="531"/>
      <c r="AD88" s="531"/>
      <c r="AF88" s="531"/>
      <c r="AN88" s="532">
        <v>0.0</v>
      </c>
      <c r="AO88" s="533"/>
    </row>
    <row r="89" ht="15.75" customHeight="1">
      <c r="A89" s="505"/>
      <c r="B89" s="526"/>
      <c r="G89" s="527"/>
      <c r="I89" s="527"/>
      <c r="M89" s="527"/>
      <c r="P89" s="527"/>
      <c r="T89" s="528">
        <v>0.0</v>
      </c>
      <c r="V89" s="527"/>
      <c r="Y89" s="527"/>
      <c r="AA89" s="527"/>
      <c r="AD89" s="527"/>
      <c r="AF89" s="527"/>
      <c r="AN89" s="528">
        <v>0.0</v>
      </c>
      <c r="AO89" s="529"/>
    </row>
    <row r="90" ht="15.75" customHeight="1">
      <c r="A90" s="505"/>
      <c r="B90" s="530"/>
      <c r="G90" s="531"/>
      <c r="I90" s="531"/>
      <c r="M90" s="531"/>
      <c r="P90" s="531"/>
      <c r="T90" s="532">
        <v>0.0</v>
      </c>
      <c r="V90" s="531"/>
      <c r="Y90" s="531"/>
      <c r="AA90" s="531"/>
      <c r="AD90" s="531"/>
      <c r="AF90" s="531"/>
      <c r="AN90" s="532">
        <v>0.0</v>
      </c>
      <c r="AO90" s="533"/>
    </row>
    <row r="91" ht="15.75" customHeight="1">
      <c r="A91" s="505"/>
      <c r="B91" s="526"/>
      <c r="G91" s="527"/>
      <c r="I91" s="527"/>
      <c r="M91" s="527"/>
      <c r="P91" s="527"/>
      <c r="T91" s="528">
        <v>0.0</v>
      </c>
      <c r="V91" s="527"/>
      <c r="Y91" s="527"/>
      <c r="AA91" s="527"/>
      <c r="AD91" s="527"/>
      <c r="AF91" s="527"/>
      <c r="AN91" s="528">
        <v>0.0</v>
      </c>
      <c r="AO91" s="529"/>
    </row>
    <row r="92" ht="15.75" customHeight="1">
      <c r="A92" s="505"/>
      <c r="B92" s="530"/>
      <c r="G92" s="531"/>
      <c r="I92" s="531"/>
      <c r="M92" s="531"/>
      <c r="P92" s="531"/>
      <c r="T92" s="532">
        <v>0.0</v>
      </c>
      <c r="V92" s="531"/>
      <c r="Y92" s="531"/>
      <c r="AA92" s="531"/>
      <c r="AD92" s="531"/>
      <c r="AF92" s="531"/>
      <c r="AN92" s="532">
        <v>0.0</v>
      </c>
      <c r="AO92" s="533"/>
    </row>
    <row r="93" ht="15.75" customHeight="1">
      <c r="A93" s="505"/>
      <c r="B93" s="526"/>
      <c r="G93" s="527"/>
      <c r="I93" s="527"/>
      <c r="M93" s="527"/>
      <c r="P93" s="527"/>
      <c r="T93" s="528">
        <v>0.0</v>
      </c>
      <c r="V93" s="527"/>
      <c r="Y93" s="527"/>
      <c r="AA93" s="527"/>
      <c r="AD93" s="527"/>
      <c r="AF93" s="527"/>
      <c r="AN93" s="528">
        <v>0.0</v>
      </c>
      <c r="AO93" s="529"/>
    </row>
    <row r="94" ht="15.75" customHeight="1">
      <c r="A94" s="505"/>
      <c r="B94" s="530"/>
      <c r="G94" s="531"/>
      <c r="I94" s="531"/>
      <c r="M94" s="531"/>
      <c r="P94" s="531"/>
      <c r="T94" s="532">
        <v>0.0</v>
      </c>
      <c r="V94" s="531"/>
      <c r="Y94" s="531"/>
      <c r="AA94" s="531"/>
      <c r="AD94" s="531"/>
      <c r="AF94" s="531"/>
      <c r="AN94" s="532">
        <v>0.0</v>
      </c>
      <c r="AO94" s="533"/>
    </row>
    <row r="95" ht="15.75" customHeight="1">
      <c r="A95" s="505"/>
      <c r="B95" s="526"/>
      <c r="G95" s="527"/>
      <c r="I95" s="527"/>
      <c r="M95" s="527"/>
      <c r="P95" s="527"/>
      <c r="T95" s="528">
        <v>0.0</v>
      </c>
      <c r="V95" s="527"/>
      <c r="Y95" s="527"/>
      <c r="AA95" s="527"/>
      <c r="AD95" s="527"/>
      <c r="AF95" s="527"/>
      <c r="AN95" s="528">
        <v>0.0</v>
      </c>
      <c r="AO95" s="529"/>
    </row>
    <row r="96" ht="15.75" customHeight="1">
      <c r="A96" s="505"/>
      <c r="B96" s="530"/>
      <c r="G96" s="531"/>
      <c r="I96" s="531"/>
      <c r="M96" s="531"/>
      <c r="P96" s="531"/>
      <c r="T96" s="532">
        <v>0.0</v>
      </c>
      <c r="V96" s="531"/>
      <c r="Y96" s="531"/>
      <c r="AA96" s="531"/>
      <c r="AD96" s="531"/>
      <c r="AF96" s="531"/>
      <c r="AN96" s="532">
        <v>0.0</v>
      </c>
      <c r="AO96" s="533"/>
    </row>
    <row r="97" ht="15.75" customHeight="1">
      <c r="A97" s="505"/>
      <c r="B97" s="526"/>
      <c r="G97" s="527"/>
      <c r="I97" s="527"/>
      <c r="M97" s="527"/>
      <c r="P97" s="527"/>
      <c r="T97" s="528">
        <v>0.0</v>
      </c>
      <c r="V97" s="527"/>
      <c r="Y97" s="527"/>
      <c r="AA97" s="527"/>
      <c r="AD97" s="527"/>
      <c r="AF97" s="527"/>
      <c r="AN97" s="528">
        <v>0.0</v>
      </c>
      <c r="AO97" s="529"/>
    </row>
    <row r="98" ht="15.75" customHeight="1">
      <c r="A98" s="505"/>
      <c r="B98" s="530"/>
      <c r="G98" s="531"/>
      <c r="I98" s="531"/>
      <c r="M98" s="531"/>
      <c r="P98" s="531"/>
      <c r="T98" s="532">
        <v>0.0</v>
      </c>
      <c r="V98" s="531"/>
      <c r="Y98" s="531"/>
      <c r="AA98" s="531"/>
      <c r="AD98" s="531"/>
      <c r="AF98" s="531"/>
      <c r="AN98" s="532">
        <v>0.0</v>
      </c>
      <c r="AO98" s="533"/>
    </row>
    <row r="99" ht="15.75" customHeight="1">
      <c r="A99" s="505"/>
      <c r="B99" s="526"/>
      <c r="G99" s="527"/>
      <c r="I99" s="527"/>
      <c r="M99" s="527"/>
      <c r="P99" s="527"/>
      <c r="T99" s="528">
        <v>0.0</v>
      </c>
      <c r="V99" s="527"/>
      <c r="Y99" s="527"/>
      <c r="AA99" s="527"/>
      <c r="AD99" s="527"/>
      <c r="AF99" s="527"/>
      <c r="AN99" s="528">
        <v>0.0</v>
      </c>
      <c r="AO99" s="529"/>
    </row>
    <row r="100" ht="15.75" customHeight="1">
      <c r="A100" s="505"/>
      <c r="B100" s="530"/>
      <c r="G100" s="531"/>
      <c r="I100" s="531"/>
      <c r="M100" s="531"/>
      <c r="P100" s="531"/>
      <c r="T100" s="532">
        <v>0.0</v>
      </c>
      <c r="V100" s="531"/>
      <c r="Y100" s="531"/>
      <c r="AA100" s="531"/>
      <c r="AD100" s="531"/>
      <c r="AF100" s="531"/>
      <c r="AN100" s="532">
        <v>0.0</v>
      </c>
      <c r="AO100" s="533"/>
    </row>
    <row r="101" ht="15.75" customHeight="1">
      <c r="A101" s="505"/>
      <c r="B101" s="526"/>
      <c r="G101" s="527"/>
      <c r="I101" s="527"/>
      <c r="M101" s="527"/>
      <c r="P101" s="527"/>
      <c r="T101" s="528">
        <v>0.0</v>
      </c>
      <c r="V101" s="527"/>
      <c r="Y101" s="527"/>
      <c r="AA101" s="527"/>
      <c r="AD101" s="527"/>
      <c r="AF101" s="527"/>
      <c r="AN101" s="528">
        <v>0.0</v>
      </c>
      <c r="AO101" s="529"/>
    </row>
    <row r="102" ht="15.75" customHeight="1">
      <c r="A102" s="505"/>
      <c r="B102" s="530"/>
      <c r="G102" s="531"/>
      <c r="I102" s="531"/>
      <c r="M102" s="531"/>
      <c r="P102" s="531"/>
      <c r="T102" s="532">
        <v>0.0</v>
      </c>
      <c r="V102" s="531"/>
      <c r="Y102" s="531"/>
      <c r="AA102" s="531"/>
      <c r="AD102" s="531"/>
      <c r="AF102" s="531"/>
      <c r="AN102" s="532">
        <v>0.0</v>
      </c>
      <c r="AO102" s="533"/>
    </row>
    <row r="103" ht="15.75" customHeight="1">
      <c r="A103" s="505"/>
      <c r="B103" s="526"/>
      <c r="G103" s="527"/>
      <c r="I103" s="527"/>
      <c r="M103" s="527"/>
      <c r="P103" s="527"/>
      <c r="T103" s="528">
        <v>0.0</v>
      </c>
      <c r="V103" s="527"/>
      <c r="Y103" s="527"/>
      <c r="AA103" s="527"/>
      <c r="AD103" s="527"/>
      <c r="AF103" s="527"/>
      <c r="AN103" s="528">
        <v>0.0</v>
      </c>
      <c r="AO103" s="529"/>
    </row>
    <row r="104" ht="15.75" customHeight="1">
      <c r="A104" s="505"/>
      <c r="B104" s="530"/>
      <c r="G104" s="531"/>
      <c r="I104" s="531"/>
      <c r="M104" s="531"/>
      <c r="P104" s="531"/>
      <c r="T104" s="532">
        <v>0.0</v>
      </c>
      <c r="V104" s="531"/>
      <c r="Y104" s="531"/>
      <c r="AA104" s="531"/>
      <c r="AD104" s="531"/>
      <c r="AF104" s="531"/>
      <c r="AN104" s="532">
        <v>0.0</v>
      </c>
      <c r="AO104" s="533"/>
    </row>
    <row r="105" ht="15.75" customHeight="1">
      <c r="A105" s="505"/>
      <c r="B105" s="526"/>
      <c r="G105" s="527"/>
      <c r="I105" s="527"/>
      <c r="M105" s="527"/>
      <c r="P105" s="527"/>
      <c r="T105" s="528">
        <v>0.0</v>
      </c>
      <c r="V105" s="527"/>
      <c r="Y105" s="527"/>
      <c r="AA105" s="527"/>
      <c r="AD105" s="527"/>
      <c r="AF105" s="527"/>
      <c r="AN105" s="528">
        <v>0.0</v>
      </c>
      <c r="AO105" s="529"/>
    </row>
    <row r="106" ht="15.75" customHeight="1">
      <c r="A106" s="505"/>
      <c r="B106" s="530"/>
      <c r="G106" s="531"/>
      <c r="I106" s="531"/>
      <c r="M106" s="531"/>
      <c r="P106" s="531"/>
      <c r="T106" s="532">
        <v>0.0</v>
      </c>
      <c r="V106" s="531"/>
      <c r="Y106" s="531"/>
      <c r="AA106" s="531"/>
      <c r="AD106" s="531"/>
      <c r="AF106" s="531"/>
      <c r="AN106" s="532">
        <v>0.0</v>
      </c>
      <c r="AO106" s="533"/>
    </row>
    <row r="107" ht="15.75" customHeight="1">
      <c r="A107" s="505"/>
      <c r="B107" s="526"/>
      <c r="G107" s="527"/>
      <c r="I107" s="527"/>
      <c r="M107" s="527"/>
      <c r="P107" s="527"/>
      <c r="T107" s="528">
        <v>0.0</v>
      </c>
      <c r="V107" s="527"/>
      <c r="Y107" s="527"/>
      <c r="AA107" s="527"/>
      <c r="AD107" s="527"/>
      <c r="AF107" s="527"/>
      <c r="AN107" s="528">
        <v>0.0</v>
      </c>
      <c r="AO107" s="529"/>
    </row>
    <row r="108" ht="15.75" customHeight="1">
      <c r="A108" s="505"/>
      <c r="B108" s="530"/>
      <c r="G108" s="531"/>
      <c r="I108" s="531"/>
      <c r="M108" s="531"/>
      <c r="P108" s="531"/>
      <c r="T108" s="532">
        <v>0.0</v>
      </c>
      <c r="V108" s="531"/>
      <c r="Y108" s="531"/>
      <c r="AA108" s="531"/>
      <c r="AD108" s="531"/>
      <c r="AF108" s="531"/>
      <c r="AN108" s="532">
        <v>0.0</v>
      </c>
      <c r="AO108" s="533"/>
    </row>
    <row r="109" ht="15.75" customHeight="1">
      <c r="A109" s="505"/>
      <c r="B109" s="526"/>
      <c r="G109" s="527"/>
      <c r="I109" s="527"/>
      <c r="M109" s="527"/>
      <c r="P109" s="527"/>
      <c r="T109" s="528">
        <v>0.0</v>
      </c>
      <c r="V109" s="527"/>
      <c r="Y109" s="527"/>
      <c r="AA109" s="527"/>
      <c r="AD109" s="527"/>
      <c r="AF109" s="527"/>
      <c r="AN109" s="528">
        <v>0.0</v>
      </c>
      <c r="AO109" s="529"/>
    </row>
    <row r="110" ht="15.75" customHeight="1">
      <c r="A110" s="505"/>
      <c r="B110" s="530"/>
      <c r="G110" s="531"/>
      <c r="I110" s="531"/>
      <c r="M110" s="531"/>
      <c r="P110" s="531"/>
      <c r="T110" s="532">
        <v>0.0</v>
      </c>
      <c r="V110" s="531"/>
      <c r="Y110" s="531"/>
      <c r="AA110" s="531"/>
      <c r="AD110" s="531"/>
      <c r="AF110" s="531"/>
      <c r="AN110" s="532">
        <v>0.0</v>
      </c>
      <c r="AO110" s="533"/>
    </row>
    <row r="111" ht="15.75" customHeight="1">
      <c r="A111" s="505"/>
      <c r="B111" s="526"/>
      <c r="G111" s="527"/>
      <c r="I111" s="527"/>
      <c r="M111" s="527"/>
      <c r="P111" s="527"/>
      <c r="T111" s="528">
        <v>0.0</v>
      </c>
      <c r="V111" s="527"/>
      <c r="Y111" s="527"/>
      <c r="AA111" s="527"/>
      <c r="AD111" s="527"/>
      <c r="AF111" s="527"/>
      <c r="AN111" s="528">
        <v>0.0</v>
      </c>
      <c r="AO111" s="529"/>
    </row>
    <row r="112" ht="15.75" customHeight="1">
      <c r="A112" s="505"/>
      <c r="B112" s="530"/>
      <c r="G112" s="531"/>
      <c r="I112" s="531"/>
      <c r="M112" s="531"/>
      <c r="P112" s="531"/>
      <c r="T112" s="532">
        <v>0.0</v>
      </c>
      <c r="V112" s="531"/>
      <c r="Y112" s="531"/>
      <c r="AA112" s="531"/>
      <c r="AD112" s="531"/>
      <c r="AF112" s="531"/>
      <c r="AN112" s="532">
        <v>0.0</v>
      </c>
      <c r="AO112" s="533"/>
    </row>
    <row r="113" ht="15.75" customHeight="1">
      <c r="A113" s="505"/>
      <c r="B113" s="526"/>
      <c r="G113" s="527"/>
      <c r="I113" s="527"/>
      <c r="M113" s="527"/>
      <c r="P113" s="527"/>
      <c r="T113" s="528">
        <v>0.0</v>
      </c>
      <c r="V113" s="527"/>
      <c r="Y113" s="527"/>
      <c r="AA113" s="527"/>
      <c r="AD113" s="527"/>
      <c r="AF113" s="527"/>
      <c r="AN113" s="528">
        <v>0.0</v>
      </c>
      <c r="AO113" s="529"/>
    </row>
    <row r="114" ht="15.75" customHeight="1">
      <c r="A114" s="505"/>
      <c r="B114" s="530"/>
      <c r="G114" s="531"/>
      <c r="I114" s="531"/>
      <c r="M114" s="531"/>
      <c r="P114" s="531"/>
      <c r="T114" s="532">
        <v>0.0</v>
      </c>
      <c r="V114" s="531"/>
      <c r="Y114" s="531"/>
      <c r="AA114" s="531"/>
      <c r="AD114" s="531"/>
      <c r="AF114" s="531"/>
      <c r="AN114" s="532">
        <v>0.0</v>
      </c>
      <c r="AO114" s="533"/>
    </row>
    <row r="115" ht="15.75" customHeight="1">
      <c r="A115" s="505"/>
      <c r="B115" s="526"/>
      <c r="G115" s="527"/>
      <c r="I115" s="527"/>
      <c r="M115" s="527"/>
      <c r="P115" s="527"/>
      <c r="T115" s="528">
        <v>0.0</v>
      </c>
      <c r="V115" s="527"/>
      <c r="Y115" s="527"/>
      <c r="AA115" s="527"/>
      <c r="AD115" s="527"/>
      <c r="AF115" s="527"/>
      <c r="AN115" s="528">
        <v>0.0</v>
      </c>
      <c r="AO115" s="529"/>
    </row>
    <row r="116" ht="15.75" customHeight="1">
      <c r="A116" s="505"/>
      <c r="B116" s="530"/>
      <c r="G116" s="531"/>
      <c r="I116" s="531"/>
      <c r="M116" s="531"/>
      <c r="P116" s="531"/>
      <c r="T116" s="532">
        <v>0.0</v>
      </c>
      <c r="V116" s="531"/>
      <c r="Y116" s="531"/>
      <c r="AA116" s="531"/>
      <c r="AD116" s="531"/>
      <c r="AF116" s="531"/>
      <c r="AN116" s="532">
        <v>0.0</v>
      </c>
      <c r="AO116" s="533"/>
    </row>
    <row r="117" ht="15.75" customHeight="1">
      <c r="A117" s="505"/>
      <c r="B117" s="526"/>
      <c r="G117" s="527"/>
      <c r="I117" s="527"/>
      <c r="M117" s="527"/>
      <c r="P117" s="527"/>
      <c r="T117" s="528">
        <v>0.0</v>
      </c>
      <c r="V117" s="527"/>
      <c r="Y117" s="527"/>
      <c r="AA117" s="527"/>
      <c r="AD117" s="527"/>
      <c r="AF117" s="527"/>
      <c r="AN117" s="528">
        <v>0.0</v>
      </c>
      <c r="AO117" s="529"/>
    </row>
    <row r="118" ht="15.75" customHeight="1">
      <c r="A118" s="505"/>
      <c r="B118" s="530"/>
      <c r="G118" s="531"/>
      <c r="I118" s="531"/>
      <c r="M118" s="531"/>
      <c r="P118" s="531"/>
      <c r="T118" s="532">
        <v>0.0</v>
      </c>
      <c r="V118" s="531"/>
      <c r="Y118" s="531"/>
      <c r="AA118" s="531"/>
      <c r="AD118" s="531"/>
      <c r="AF118" s="531"/>
      <c r="AN118" s="532">
        <v>0.0</v>
      </c>
      <c r="AO118" s="533"/>
    </row>
    <row r="119" ht="15.75" customHeight="1">
      <c r="A119" s="505"/>
      <c r="B119" s="526"/>
      <c r="G119" s="527"/>
      <c r="I119" s="527"/>
      <c r="M119" s="527"/>
      <c r="P119" s="527"/>
      <c r="T119" s="528">
        <v>0.0</v>
      </c>
      <c r="V119" s="527"/>
      <c r="Y119" s="527"/>
      <c r="AA119" s="527"/>
      <c r="AD119" s="527"/>
      <c r="AF119" s="527"/>
      <c r="AN119" s="528">
        <v>0.0</v>
      </c>
      <c r="AO119" s="529"/>
    </row>
    <row r="120" ht="15.75" customHeight="1">
      <c r="A120" s="505"/>
      <c r="B120" s="530"/>
      <c r="G120" s="531"/>
      <c r="I120" s="531"/>
      <c r="M120" s="531"/>
      <c r="P120" s="531"/>
      <c r="T120" s="532">
        <v>0.0</v>
      </c>
      <c r="V120" s="531"/>
      <c r="Y120" s="531"/>
      <c r="AA120" s="531"/>
      <c r="AD120" s="531"/>
      <c r="AF120" s="531"/>
      <c r="AN120" s="532">
        <v>0.0</v>
      </c>
      <c r="AO120" s="533"/>
    </row>
    <row r="121" ht="15.75" customHeight="1">
      <c r="A121" s="505"/>
      <c r="B121" s="526"/>
      <c r="G121" s="527"/>
      <c r="I121" s="527"/>
      <c r="M121" s="527"/>
      <c r="P121" s="527"/>
      <c r="T121" s="528">
        <v>0.0</v>
      </c>
      <c r="V121" s="527"/>
      <c r="Y121" s="527"/>
      <c r="AA121" s="527"/>
      <c r="AD121" s="527"/>
      <c r="AF121" s="527"/>
      <c r="AN121" s="528">
        <v>0.0</v>
      </c>
      <c r="AO121" s="529"/>
    </row>
    <row r="122" ht="15.75" customHeight="1">
      <c r="A122" s="505"/>
      <c r="B122" s="530"/>
      <c r="G122" s="531"/>
      <c r="I122" s="531"/>
      <c r="M122" s="531"/>
      <c r="P122" s="531"/>
      <c r="T122" s="532">
        <v>0.0</v>
      </c>
      <c r="V122" s="531"/>
      <c r="Y122" s="531"/>
      <c r="AA122" s="531"/>
      <c r="AD122" s="531"/>
      <c r="AF122" s="531"/>
      <c r="AN122" s="532">
        <v>0.0</v>
      </c>
      <c r="AO122" s="533"/>
    </row>
    <row r="123" ht="15.75" customHeight="1">
      <c r="A123" s="505"/>
      <c r="B123" s="526"/>
      <c r="G123" s="527"/>
      <c r="I123" s="527"/>
      <c r="M123" s="527"/>
      <c r="P123" s="527"/>
      <c r="T123" s="528">
        <v>0.0</v>
      </c>
      <c r="V123" s="527"/>
      <c r="Y123" s="527"/>
      <c r="AA123" s="527"/>
      <c r="AD123" s="527"/>
      <c r="AF123" s="527"/>
      <c r="AN123" s="528">
        <v>0.0</v>
      </c>
      <c r="AO123" s="529"/>
    </row>
    <row r="124" ht="15.75" customHeight="1">
      <c r="A124" s="505"/>
      <c r="B124" s="530"/>
      <c r="G124" s="531"/>
      <c r="I124" s="531"/>
      <c r="M124" s="531"/>
      <c r="P124" s="531"/>
      <c r="T124" s="532">
        <v>0.0</v>
      </c>
      <c r="V124" s="531"/>
      <c r="Y124" s="531"/>
      <c r="AA124" s="531"/>
      <c r="AD124" s="531"/>
      <c r="AF124" s="531"/>
      <c r="AN124" s="532">
        <v>0.0</v>
      </c>
      <c r="AO124" s="533"/>
    </row>
    <row r="125" ht="15.75" customHeight="1">
      <c r="A125" s="505"/>
      <c r="B125" s="526"/>
      <c r="G125" s="527"/>
      <c r="I125" s="527"/>
      <c r="M125" s="527"/>
      <c r="P125" s="527"/>
      <c r="T125" s="528">
        <v>0.0</v>
      </c>
      <c r="V125" s="527"/>
      <c r="Y125" s="527"/>
      <c r="AA125" s="527"/>
      <c r="AD125" s="527"/>
      <c r="AF125" s="527"/>
      <c r="AN125" s="528">
        <v>0.0</v>
      </c>
      <c r="AO125" s="529"/>
    </row>
    <row r="126" ht="15.75" customHeight="1">
      <c r="A126" s="505"/>
      <c r="B126" s="530"/>
      <c r="G126" s="531"/>
      <c r="I126" s="531"/>
      <c r="M126" s="531"/>
      <c r="P126" s="531"/>
      <c r="T126" s="532">
        <v>0.0</v>
      </c>
      <c r="V126" s="531"/>
      <c r="Y126" s="531"/>
      <c r="AA126" s="531"/>
      <c r="AD126" s="531"/>
      <c r="AF126" s="531"/>
      <c r="AN126" s="532">
        <v>0.0</v>
      </c>
      <c r="AO126" s="533"/>
    </row>
    <row r="127" ht="15.75" customHeight="1">
      <c r="A127" s="505"/>
      <c r="B127" s="526"/>
      <c r="G127" s="527"/>
      <c r="I127" s="527"/>
      <c r="M127" s="527"/>
      <c r="P127" s="527"/>
      <c r="T127" s="528">
        <v>0.0</v>
      </c>
      <c r="V127" s="527"/>
      <c r="Y127" s="527"/>
      <c r="AA127" s="527"/>
      <c r="AD127" s="527"/>
      <c r="AF127" s="527"/>
      <c r="AN127" s="528">
        <v>0.0</v>
      </c>
      <c r="AO127" s="529"/>
    </row>
    <row r="128" ht="15.75" customHeight="1">
      <c r="A128" s="505"/>
      <c r="B128" s="530"/>
      <c r="G128" s="531"/>
      <c r="I128" s="531"/>
      <c r="M128" s="531"/>
      <c r="P128" s="531"/>
      <c r="T128" s="532">
        <v>0.0</v>
      </c>
      <c r="V128" s="531"/>
      <c r="Y128" s="531"/>
      <c r="AA128" s="531"/>
      <c r="AD128" s="531"/>
      <c r="AF128" s="531"/>
      <c r="AN128" s="532">
        <v>0.0</v>
      </c>
      <c r="AO128" s="533"/>
    </row>
    <row r="129" ht="15.75" customHeight="1">
      <c r="A129" s="505"/>
      <c r="B129" s="526"/>
      <c r="G129" s="527"/>
      <c r="I129" s="527"/>
      <c r="M129" s="527"/>
      <c r="P129" s="527"/>
      <c r="T129" s="528">
        <v>0.0</v>
      </c>
      <c r="V129" s="527"/>
      <c r="Y129" s="527"/>
      <c r="AA129" s="527"/>
      <c r="AD129" s="527"/>
      <c r="AF129" s="527"/>
      <c r="AN129" s="528">
        <v>0.0</v>
      </c>
      <c r="AO129" s="529"/>
    </row>
    <row r="130" ht="15.75" customHeight="1">
      <c r="A130" s="505"/>
      <c r="B130" s="530"/>
      <c r="G130" s="531"/>
      <c r="I130" s="531"/>
      <c r="M130" s="531"/>
      <c r="P130" s="531"/>
      <c r="T130" s="532">
        <v>0.0</v>
      </c>
      <c r="V130" s="531"/>
      <c r="Y130" s="531"/>
      <c r="AA130" s="531"/>
      <c r="AD130" s="531"/>
      <c r="AF130" s="531"/>
      <c r="AN130" s="532">
        <v>0.0</v>
      </c>
      <c r="AO130" s="533"/>
    </row>
    <row r="131" ht="15.75" customHeight="1">
      <c r="A131" s="505"/>
      <c r="B131" s="526"/>
      <c r="G131" s="527"/>
      <c r="I131" s="527"/>
      <c r="M131" s="527"/>
      <c r="P131" s="527"/>
      <c r="T131" s="528">
        <v>0.0</v>
      </c>
      <c r="V131" s="527"/>
      <c r="Y131" s="527"/>
      <c r="AA131" s="527"/>
      <c r="AD131" s="527"/>
      <c r="AF131" s="527"/>
      <c r="AN131" s="528">
        <v>0.0</v>
      </c>
      <c r="AO131" s="529"/>
    </row>
    <row r="132" ht="15.75" customHeight="1">
      <c r="A132" s="505"/>
      <c r="B132" s="530"/>
      <c r="G132" s="531"/>
      <c r="I132" s="531"/>
      <c r="M132" s="531"/>
      <c r="P132" s="531"/>
      <c r="T132" s="532">
        <v>0.0</v>
      </c>
      <c r="V132" s="531"/>
      <c r="Y132" s="531"/>
      <c r="AA132" s="531"/>
      <c r="AD132" s="531"/>
      <c r="AF132" s="531"/>
      <c r="AN132" s="532">
        <v>0.0</v>
      </c>
      <c r="AO132" s="533"/>
    </row>
    <row r="133" ht="15.75" customHeight="1">
      <c r="A133" s="505"/>
      <c r="B133" s="526"/>
      <c r="G133" s="527"/>
      <c r="I133" s="527"/>
      <c r="M133" s="527"/>
      <c r="P133" s="527"/>
      <c r="T133" s="528">
        <v>0.0</v>
      </c>
      <c r="V133" s="527"/>
      <c r="Y133" s="527"/>
      <c r="AA133" s="527"/>
      <c r="AD133" s="527"/>
      <c r="AF133" s="527"/>
      <c r="AN133" s="528">
        <v>0.0</v>
      </c>
      <c r="AO133" s="529"/>
    </row>
    <row r="134" ht="15.75" customHeight="1">
      <c r="A134" s="505"/>
      <c r="B134" s="530"/>
      <c r="G134" s="531"/>
      <c r="I134" s="531"/>
      <c r="M134" s="531"/>
      <c r="P134" s="531"/>
      <c r="T134" s="532">
        <v>0.0</v>
      </c>
      <c r="V134" s="531"/>
      <c r="Y134" s="531"/>
      <c r="AA134" s="531"/>
      <c r="AD134" s="531"/>
      <c r="AF134" s="531"/>
      <c r="AN134" s="532">
        <v>0.0</v>
      </c>
      <c r="AO134" s="533"/>
    </row>
    <row r="135" ht="15.75" customHeight="1">
      <c r="A135" s="505"/>
      <c r="B135" s="526"/>
      <c r="G135" s="527"/>
      <c r="I135" s="527"/>
      <c r="M135" s="527"/>
      <c r="P135" s="527"/>
      <c r="T135" s="528">
        <v>0.0</v>
      </c>
      <c r="V135" s="527"/>
      <c r="Y135" s="527"/>
      <c r="AA135" s="527"/>
      <c r="AD135" s="527"/>
      <c r="AF135" s="527"/>
      <c r="AN135" s="528">
        <v>0.0</v>
      </c>
      <c r="AO135" s="529"/>
    </row>
    <row r="136" ht="15.75" customHeight="1">
      <c r="A136" s="505"/>
      <c r="B136" s="530"/>
      <c r="G136" s="531"/>
      <c r="I136" s="531"/>
      <c r="M136" s="531"/>
      <c r="P136" s="531"/>
      <c r="T136" s="532">
        <v>0.0</v>
      </c>
      <c r="V136" s="531"/>
      <c r="Y136" s="531"/>
      <c r="AA136" s="531"/>
      <c r="AD136" s="531"/>
      <c r="AF136" s="531"/>
      <c r="AN136" s="532">
        <v>0.0</v>
      </c>
      <c r="AO136" s="533"/>
    </row>
    <row r="137" ht="15.75" customHeight="1">
      <c r="A137" s="505"/>
      <c r="B137" s="526"/>
      <c r="G137" s="527"/>
      <c r="I137" s="527"/>
      <c r="M137" s="527"/>
      <c r="P137" s="527"/>
      <c r="T137" s="528">
        <v>0.0</v>
      </c>
      <c r="V137" s="527"/>
      <c r="Y137" s="527"/>
      <c r="AA137" s="527"/>
      <c r="AD137" s="527"/>
      <c r="AF137" s="527"/>
      <c r="AN137" s="528">
        <v>0.0</v>
      </c>
      <c r="AO137" s="529"/>
    </row>
    <row r="138" ht="15.75" customHeight="1">
      <c r="A138" s="505"/>
      <c r="B138" s="530"/>
      <c r="G138" s="531"/>
      <c r="I138" s="531"/>
      <c r="M138" s="531"/>
      <c r="P138" s="531"/>
      <c r="T138" s="532">
        <v>0.0</v>
      </c>
      <c r="V138" s="531"/>
      <c r="Y138" s="531"/>
      <c r="AA138" s="531"/>
      <c r="AD138" s="531"/>
      <c r="AF138" s="531"/>
      <c r="AN138" s="532">
        <v>0.0</v>
      </c>
      <c r="AO138" s="533"/>
    </row>
    <row r="139" ht="15.75" customHeight="1">
      <c r="A139" s="505"/>
      <c r="B139" s="526"/>
      <c r="G139" s="527"/>
      <c r="I139" s="527"/>
      <c r="M139" s="527"/>
      <c r="P139" s="527"/>
      <c r="T139" s="528">
        <v>0.0</v>
      </c>
      <c r="V139" s="527"/>
      <c r="Y139" s="527"/>
      <c r="AA139" s="527"/>
      <c r="AD139" s="527"/>
      <c r="AF139" s="527"/>
      <c r="AN139" s="528">
        <v>0.0</v>
      </c>
      <c r="AO139" s="529"/>
    </row>
    <row r="140" ht="15.75" customHeight="1">
      <c r="A140" s="505"/>
      <c r="B140" s="530"/>
      <c r="G140" s="531"/>
      <c r="I140" s="531"/>
      <c r="M140" s="531"/>
      <c r="P140" s="531"/>
      <c r="T140" s="532">
        <v>0.0</v>
      </c>
      <c r="V140" s="531"/>
      <c r="Y140" s="531"/>
      <c r="AA140" s="531"/>
      <c r="AD140" s="531"/>
      <c r="AF140" s="531"/>
      <c r="AN140" s="532">
        <v>0.0</v>
      </c>
      <c r="AO140" s="533"/>
    </row>
    <row r="141" ht="15.75" customHeight="1">
      <c r="A141" s="505"/>
      <c r="B141" s="526"/>
      <c r="G141" s="527"/>
      <c r="I141" s="527"/>
      <c r="M141" s="527"/>
      <c r="P141" s="527"/>
      <c r="T141" s="528">
        <v>0.0</v>
      </c>
      <c r="V141" s="527"/>
      <c r="Y141" s="527"/>
      <c r="AA141" s="527"/>
      <c r="AD141" s="527"/>
      <c r="AF141" s="527"/>
      <c r="AN141" s="528">
        <v>0.0</v>
      </c>
      <c r="AO141" s="529"/>
    </row>
    <row r="142" ht="15.75" customHeight="1">
      <c r="A142" s="505"/>
      <c r="B142" s="530"/>
      <c r="G142" s="531"/>
      <c r="I142" s="531"/>
      <c r="M142" s="531"/>
      <c r="P142" s="531"/>
      <c r="T142" s="532">
        <v>0.0</v>
      </c>
      <c r="V142" s="531"/>
      <c r="Y142" s="531"/>
      <c r="AA142" s="531"/>
      <c r="AD142" s="531"/>
      <c r="AF142" s="531"/>
      <c r="AN142" s="532">
        <v>0.0</v>
      </c>
      <c r="AO142" s="533"/>
    </row>
    <row r="143" ht="15.75" customHeight="1">
      <c r="A143" s="505"/>
      <c r="B143" s="526"/>
      <c r="G143" s="527"/>
      <c r="I143" s="527"/>
      <c r="M143" s="527"/>
      <c r="P143" s="527"/>
      <c r="T143" s="528">
        <v>0.0</v>
      </c>
      <c r="V143" s="527"/>
      <c r="Y143" s="527"/>
      <c r="AA143" s="527"/>
      <c r="AD143" s="527"/>
      <c r="AF143" s="527"/>
      <c r="AN143" s="528">
        <v>0.0</v>
      </c>
      <c r="AO143" s="529"/>
    </row>
    <row r="144" ht="15.75" customHeight="1">
      <c r="A144" s="505"/>
      <c r="B144" s="530"/>
      <c r="G144" s="531"/>
      <c r="I144" s="531"/>
      <c r="M144" s="531"/>
      <c r="P144" s="531"/>
      <c r="T144" s="532">
        <v>0.0</v>
      </c>
      <c r="V144" s="531"/>
      <c r="Y144" s="531"/>
      <c r="AA144" s="531"/>
      <c r="AD144" s="531"/>
      <c r="AF144" s="531"/>
      <c r="AN144" s="532">
        <v>0.0</v>
      </c>
      <c r="AO144" s="533"/>
    </row>
    <row r="145" ht="15.75" customHeight="1">
      <c r="A145" s="505"/>
      <c r="B145" s="526"/>
      <c r="G145" s="527"/>
      <c r="I145" s="527"/>
      <c r="M145" s="527"/>
      <c r="P145" s="527"/>
      <c r="T145" s="528">
        <v>0.0</v>
      </c>
      <c r="V145" s="527"/>
      <c r="Y145" s="527"/>
      <c r="AA145" s="527"/>
      <c r="AD145" s="527"/>
      <c r="AF145" s="527"/>
      <c r="AN145" s="528">
        <v>0.0</v>
      </c>
      <c r="AO145" s="529"/>
    </row>
    <row r="146" ht="15.75" customHeight="1">
      <c r="A146" s="505"/>
      <c r="B146" s="530"/>
      <c r="G146" s="531"/>
      <c r="I146" s="531"/>
      <c r="M146" s="531"/>
      <c r="P146" s="531"/>
      <c r="T146" s="532">
        <v>0.0</v>
      </c>
      <c r="V146" s="531"/>
      <c r="Y146" s="531"/>
      <c r="AA146" s="531"/>
      <c r="AD146" s="531"/>
      <c r="AF146" s="531"/>
      <c r="AN146" s="532">
        <v>0.0</v>
      </c>
      <c r="AO146" s="533"/>
    </row>
    <row r="147" ht="15.75" customHeight="1">
      <c r="A147" s="505"/>
      <c r="B147" s="526"/>
      <c r="G147" s="527"/>
      <c r="I147" s="527"/>
      <c r="M147" s="527"/>
      <c r="P147" s="527"/>
      <c r="T147" s="528">
        <v>0.0</v>
      </c>
      <c r="V147" s="527"/>
      <c r="Y147" s="527"/>
      <c r="AA147" s="527"/>
      <c r="AD147" s="527"/>
      <c r="AF147" s="527"/>
      <c r="AN147" s="528">
        <v>0.0</v>
      </c>
      <c r="AO147" s="529"/>
    </row>
    <row r="148" ht="15.75" customHeight="1">
      <c r="A148" s="505"/>
      <c r="B148" s="530"/>
      <c r="G148" s="531"/>
      <c r="I148" s="531"/>
      <c r="M148" s="531"/>
      <c r="P148" s="531"/>
      <c r="T148" s="532">
        <v>0.0</v>
      </c>
      <c r="V148" s="531"/>
      <c r="Y148" s="531"/>
      <c r="AA148" s="531"/>
      <c r="AD148" s="531"/>
      <c r="AF148" s="531"/>
      <c r="AN148" s="532">
        <v>0.0</v>
      </c>
      <c r="AO148" s="533"/>
    </row>
    <row r="149" ht="15.75" customHeight="1">
      <c r="A149" s="505"/>
      <c r="B149" s="526"/>
      <c r="G149" s="527"/>
      <c r="I149" s="527"/>
      <c r="M149" s="527"/>
      <c r="P149" s="527"/>
      <c r="T149" s="528">
        <v>0.0</v>
      </c>
      <c r="V149" s="527"/>
      <c r="Y149" s="527"/>
      <c r="AA149" s="527"/>
      <c r="AD149" s="527"/>
      <c r="AF149" s="527"/>
      <c r="AN149" s="528">
        <v>0.0</v>
      </c>
      <c r="AO149" s="529"/>
    </row>
    <row r="150" ht="15.75" customHeight="1">
      <c r="A150" s="505"/>
      <c r="B150" s="530"/>
      <c r="G150" s="531"/>
      <c r="I150" s="531"/>
      <c r="M150" s="531"/>
      <c r="P150" s="531"/>
      <c r="T150" s="532">
        <v>0.0</v>
      </c>
      <c r="V150" s="531"/>
      <c r="Y150" s="531"/>
      <c r="AA150" s="531"/>
      <c r="AD150" s="531"/>
      <c r="AF150" s="531"/>
      <c r="AN150" s="532">
        <v>0.0</v>
      </c>
      <c r="AO150" s="533"/>
    </row>
    <row r="151" ht="15.75" customHeight="1">
      <c r="A151" s="505"/>
      <c r="B151" s="526"/>
      <c r="G151" s="527"/>
      <c r="I151" s="527"/>
      <c r="M151" s="527"/>
      <c r="P151" s="527"/>
      <c r="T151" s="528">
        <v>0.0</v>
      </c>
      <c r="V151" s="527"/>
      <c r="Y151" s="527"/>
      <c r="AA151" s="527"/>
      <c r="AD151" s="527"/>
      <c r="AF151" s="527"/>
      <c r="AN151" s="528">
        <v>0.0</v>
      </c>
      <c r="AO151" s="529"/>
    </row>
    <row r="152" ht="15.75" customHeight="1">
      <c r="A152" s="505"/>
      <c r="B152" s="530"/>
      <c r="G152" s="531"/>
      <c r="I152" s="531"/>
      <c r="M152" s="531"/>
      <c r="P152" s="531"/>
      <c r="T152" s="532">
        <v>0.0</v>
      </c>
      <c r="V152" s="531"/>
      <c r="Y152" s="531"/>
      <c r="AA152" s="531"/>
      <c r="AD152" s="531"/>
      <c r="AF152" s="531"/>
      <c r="AN152" s="532">
        <v>0.0</v>
      </c>
      <c r="AO152" s="533"/>
    </row>
    <row r="153" ht="15.75" customHeight="1">
      <c r="A153" s="505"/>
      <c r="B153" s="526"/>
      <c r="G153" s="527"/>
      <c r="I153" s="527"/>
      <c r="M153" s="527"/>
      <c r="P153" s="527"/>
      <c r="T153" s="528">
        <v>0.0</v>
      </c>
      <c r="V153" s="527"/>
      <c r="Y153" s="527"/>
      <c r="AA153" s="527"/>
      <c r="AD153" s="527"/>
      <c r="AF153" s="527"/>
      <c r="AN153" s="528">
        <v>0.0</v>
      </c>
      <c r="AO153" s="529"/>
    </row>
    <row r="154" ht="15.75" customHeight="1">
      <c r="A154" s="505"/>
      <c r="B154" s="530"/>
      <c r="G154" s="531"/>
      <c r="I154" s="531"/>
      <c r="M154" s="531"/>
      <c r="P154" s="531"/>
      <c r="T154" s="532">
        <v>0.0</v>
      </c>
      <c r="V154" s="531"/>
      <c r="Y154" s="531"/>
      <c r="AA154" s="531"/>
      <c r="AD154" s="531"/>
      <c r="AF154" s="531"/>
      <c r="AN154" s="532">
        <v>0.0</v>
      </c>
      <c r="AO154" s="533"/>
    </row>
    <row r="155" ht="15.75" customHeight="1">
      <c r="A155" s="505"/>
      <c r="B155" s="526"/>
      <c r="G155" s="527"/>
      <c r="I155" s="527"/>
      <c r="M155" s="527"/>
      <c r="P155" s="527"/>
      <c r="T155" s="528">
        <v>0.0</v>
      </c>
      <c r="V155" s="527"/>
      <c r="Y155" s="527"/>
      <c r="AA155" s="527"/>
      <c r="AD155" s="527"/>
      <c r="AF155" s="527"/>
      <c r="AN155" s="528">
        <v>0.0</v>
      </c>
      <c r="AO155" s="529"/>
    </row>
    <row r="156" ht="15.75" customHeight="1">
      <c r="A156" s="505"/>
      <c r="B156" s="530"/>
      <c r="G156" s="531"/>
      <c r="I156" s="531"/>
      <c r="M156" s="531"/>
      <c r="P156" s="531"/>
      <c r="T156" s="532">
        <v>0.0</v>
      </c>
      <c r="V156" s="531"/>
      <c r="Y156" s="531"/>
      <c r="AA156" s="531"/>
      <c r="AD156" s="531"/>
      <c r="AF156" s="531"/>
      <c r="AN156" s="532">
        <v>0.0</v>
      </c>
      <c r="AO156" s="533"/>
    </row>
    <row r="157" ht="15.75" customHeight="1">
      <c r="A157" s="505"/>
      <c r="B157" s="526"/>
      <c r="G157" s="527"/>
      <c r="I157" s="527"/>
      <c r="M157" s="527"/>
      <c r="P157" s="527"/>
      <c r="T157" s="528">
        <v>0.0</v>
      </c>
      <c r="V157" s="527"/>
      <c r="Y157" s="527"/>
      <c r="AA157" s="527"/>
      <c r="AD157" s="527"/>
      <c r="AF157" s="527"/>
      <c r="AN157" s="528">
        <v>0.0</v>
      </c>
      <c r="AO157" s="529"/>
    </row>
    <row r="158" ht="15.75" customHeight="1">
      <c r="A158" s="505"/>
      <c r="B158" s="530"/>
      <c r="G158" s="531"/>
      <c r="I158" s="531"/>
      <c r="M158" s="531"/>
      <c r="P158" s="531"/>
      <c r="T158" s="532">
        <v>0.0</v>
      </c>
      <c r="V158" s="531"/>
      <c r="Y158" s="531"/>
      <c r="AA158" s="531"/>
      <c r="AD158" s="531"/>
      <c r="AF158" s="531"/>
      <c r="AN158" s="532">
        <v>0.0</v>
      </c>
      <c r="AO158" s="533"/>
    </row>
    <row r="159" ht="15.75" customHeight="1">
      <c r="A159" s="505"/>
      <c r="B159" s="526"/>
      <c r="G159" s="527"/>
      <c r="I159" s="527"/>
      <c r="M159" s="527"/>
      <c r="P159" s="527"/>
      <c r="T159" s="528">
        <v>0.0</v>
      </c>
      <c r="V159" s="527"/>
      <c r="Y159" s="527"/>
      <c r="AA159" s="527"/>
      <c r="AD159" s="527"/>
      <c r="AF159" s="527"/>
      <c r="AN159" s="528">
        <v>0.0</v>
      </c>
      <c r="AO159" s="529"/>
    </row>
    <row r="160" ht="15.75" customHeight="1">
      <c r="A160" s="505"/>
      <c r="B160" s="530"/>
      <c r="G160" s="531"/>
      <c r="I160" s="531"/>
      <c r="M160" s="531"/>
      <c r="P160" s="531"/>
      <c r="T160" s="532">
        <v>0.0</v>
      </c>
      <c r="V160" s="531"/>
      <c r="Y160" s="531"/>
      <c r="AA160" s="531"/>
      <c r="AD160" s="531"/>
      <c r="AF160" s="531"/>
      <c r="AN160" s="532">
        <v>0.0</v>
      </c>
      <c r="AO160" s="533"/>
    </row>
    <row r="161" ht="15.75" customHeight="1">
      <c r="A161" s="505"/>
      <c r="B161" s="526"/>
      <c r="G161" s="527"/>
      <c r="I161" s="527"/>
      <c r="M161" s="527"/>
      <c r="P161" s="527"/>
      <c r="T161" s="528">
        <v>0.0</v>
      </c>
      <c r="V161" s="527"/>
      <c r="Y161" s="527"/>
      <c r="AA161" s="527"/>
      <c r="AD161" s="527"/>
      <c r="AF161" s="527"/>
      <c r="AN161" s="528">
        <v>0.0</v>
      </c>
      <c r="AO161" s="529"/>
    </row>
    <row r="162" ht="15.75" customHeight="1">
      <c r="A162" s="505"/>
      <c r="B162" s="530"/>
      <c r="G162" s="531"/>
      <c r="I162" s="531"/>
      <c r="M162" s="531"/>
      <c r="P162" s="531"/>
      <c r="T162" s="532">
        <v>0.0</v>
      </c>
      <c r="V162" s="531"/>
      <c r="Y162" s="531"/>
      <c r="AA162" s="531"/>
      <c r="AD162" s="531"/>
      <c r="AF162" s="531"/>
      <c r="AN162" s="532">
        <v>0.0</v>
      </c>
      <c r="AO162" s="533"/>
    </row>
    <row r="163" ht="15.75" customHeight="1">
      <c r="A163" s="505"/>
      <c r="B163" s="526"/>
      <c r="G163" s="527"/>
      <c r="I163" s="527"/>
      <c r="M163" s="527"/>
      <c r="P163" s="527"/>
      <c r="T163" s="528">
        <v>0.0</v>
      </c>
      <c r="V163" s="527"/>
      <c r="Y163" s="527"/>
      <c r="AA163" s="527"/>
      <c r="AD163" s="527"/>
      <c r="AF163" s="527"/>
      <c r="AN163" s="528">
        <v>0.0</v>
      </c>
      <c r="AO163" s="529"/>
    </row>
    <row r="164" ht="15.75" customHeight="1">
      <c r="A164" s="505"/>
      <c r="B164" s="530"/>
      <c r="G164" s="531"/>
      <c r="I164" s="531"/>
      <c r="M164" s="531"/>
      <c r="P164" s="531"/>
      <c r="T164" s="532">
        <v>0.0</v>
      </c>
      <c r="V164" s="531"/>
      <c r="Y164" s="531"/>
      <c r="AA164" s="531"/>
      <c r="AD164" s="531"/>
      <c r="AF164" s="531"/>
      <c r="AN164" s="532">
        <v>0.0</v>
      </c>
      <c r="AO164" s="533"/>
    </row>
    <row r="165" ht="15.75" customHeight="1">
      <c r="A165" s="505"/>
      <c r="B165" s="526"/>
      <c r="G165" s="527"/>
      <c r="I165" s="527"/>
      <c r="M165" s="527"/>
      <c r="P165" s="527"/>
      <c r="T165" s="528">
        <v>0.0</v>
      </c>
      <c r="V165" s="527"/>
      <c r="Y165" s="527"/>
      <c r="AA165" s="527"/>
      <c r="AD165" s="527"/>
      <c r="AF165" s="527"/>
      <c r="AN165" s="528">
        <v>0.0</v>
      </c>
      <c r="AO165" s="529"/>
    </row>
    <row r="166" ht="15.75" customHeight="1">
      <c r="A166" s="505"/>
      <c r="B166" s="530"/>
      <c r="G166" s="531"/>
      <c r="I166" s="531"/>
      <c r="M166" s="531"/>
      <c r="P166" s="531"/>
      <c r="T166" s="532">
        <v>0.0</v>
      </c>
      <c r="V166" s="531"/>
      <c r="Y166" s="531"/>
      <c r="AA166" s="531"/>
      <c r="AD166" s="531"/>
      <c r="AF166" s="531"/>
      <c r="AN166" s="532">
        <v>0.0</v>
      </c>
      <c r="AO166" s="533"/>
    </row>
    <row r="167" ht="15.75" customHeight="1">
      <c r="A167" s="505"/>
      <c r="B167" s="526"/>
      <c r="G167" s="527"/>
      <c r="I167" s="527"/>
      <c r="M167" s="527"/>
      <c r="P167" s="527"/>
      <c r="T167" s="528">
        <v>0.0</v>
      </c>
      <c r="V167" s="527"/>
      <c r="Y167" s="527"/>
      <c r="AA167" s="527"/>
      <c r="AD167" s="527"/>
      <c r="AF167" s="527"/>
      <c r="AN167" s="528">
        <v>0.0</v>
      </c>
      <c r="AO167" s="529"/>
    </row>
    <row r="168" ht="15.75" customHeight="1">
      <c r="A168" s="505"/>
      <c r="B168" s="530"/>
      <c r="G168" s="531"/>
      <c r="I168" s="531"/>
      <c r="M168" s="531"/>
      <c r="P168" s="531"/>
      <c r="T168" s="532">
        <v>0.0</v>
      </c>
      <c r="V168" s="531"/>
      <c r="Y168" s="531"/>
      <c r="AA168" s="531"/>
      <c r="AD168" s="531"/>
      <c r="AF168" s="531"/>
      <c r="AN168" s="532">
        <v>0.0</v>
      </c>
      <c r="AO168" s="533"/>
    </row>
    <row r="169" ht="15.75" customHeight="1">
      <c r="A169" s="505"/>
      <c r="B169" s="526"/>
      <c r="G169" s="527"/>
      <c r="I169" s="527"/>
      <c r="M169" s="527"/>
      <c r="P169" s="527"/>
      <c r="T169" s="528">
        <v>0.0</v>
      </c>
      <c r="V169" s="527"/>
      <c r="Y169" s="527"/>
      <c r="AA169" s="527"/>
      <c r="AD169" s="527"/>
      <c r="AF169" s="527"/>
      <c r="AN169" s="528">
        <v>0.0</v>
      </c>
      <c r="AO169" s="529"/>
    </row>
    <row r="170" ht="15.75" customHeight="1">
      <c r="A170" s="505"/>
      <c r="B170" s="530"/>
      <c r="G170" s="531"/>
      <c r="I170" s="531"/>
      <c r="M170" s="531"/>
      <c r="P170" s="531"/>
      <c r="T170" s="532">
        <v>0.0</v>
      </c>
      <c r="V170" s="531"/>
      <c r="Y170" s="531"/>
      <c r="AA170" s="531"/>
      <c r="AD170" s="531"/>
      <c r="AF170" s="531"/>
      <c r="AN170" s="532">
        <v>0.0</v>
      </c>
      <c r="AO170" s="533"/>
    </row>
    <row r="171" ht="15.75" customHeight="1">
      <c r="A171" s="505"/>
      <c r="B171" s="526"/>
      <c r="G171" s="527"/>
      <c r="I171" s="527"/>
      <c r="M171" s="527"/>
      <c r="P171" s="527"/>
      <c r="T171" s="528">
        <v>0.0</v>
      </c>
      <c r="V171" s="527"/>
      <c r="Y171" s="527"/>
      <c r="AA171" s="527"/>
      <c r="AD171" s="527"/>
      <c r="AF171" s="527"/>
      <c r="AN171" s="528">
        <v>0.0</v>
      </c>
      <c r="AO171" s="529"/>
    </row>
    <row r="172" ht="15.75" customHeight="1">
      <c r="A172" s="505"/>
      <c r="B172" s="530"/>
      <c r="G172" s="531"/>
      <c r="I172" s="531"/>
      <c r="M172" s="531"/>
      <c r="P172" s="531"/>
      <c r="T172" s="532">
        <v>0.0</v>
      </c>
      <c r="V172" s="531"/>
      <c r="Y172" s="531"/>
      <c r="AA172" s="531"/>
      <c r="AD172" s="531"/>
      <c r="AF172" s="531"/>
      <c r="AN172" s="532">
        <v>0.0</v>
      </c>
      <c r="AO172" s="533"/>
    </row>
    <row r="173" ht="15.75" customHeight="1">
      <c r="A173" s="505"/>
      <c r="B173" s="526"/>
      <c r="G173" s="527"/>
      <c r="I173" s="527"/>
      <c r="M173" s="527"/>
      <c r="P173" s="527"/>
      <c r="T173" s="528">
        <v>0.0</v>
      </c>
      <c r="V173" s="527"/>
      <c r="Y173" s="527"/>
      <c r="AA173" s="527"/>
      <c r="AD173" s="527"/>
      <c r="AF173" s="527"/>
      <c r="AN173" s="528">
        <v>0.0</v>
      </c>
      <c r="AO173" s="529"/>
    </row>
    <row r="174" ht="15.75" customHeight="1">
      <c r="A174" s="505"/>
      <c r="B174" s="530"/>
      <c r="G174" s="531"/>
      <c r="I174" s="531"/>
      <c r="M174" s="531"/>
      <c r="P174" s="531"/>
      <c r="T174" s="532">
        <v>0.0</v>
      </c>
      <c r="V174" s="531"/>
      <c r="Y174" s="531"/>
      <c r="AA174" s="531"/>
      <c r="AD174" s="531"/>
      <c r="AF174" s="531"/>
      <c r="AN174" s="532">
        <v>0.0</v>
      </c>
      <c r="AO174" s="533"/>
    </row>
    <row r="175" ht="15.75" customHeight="1">
      <c r="A175" s="505"/>
      <c r="B175" s="526"/>
      <c r="G175" s="527"/>
      <c r="I175" s="527"/>
      <c r="M175" s="527"/>
      <c r="P175" s="527"/>
      <c r="T175" s="528">
        <v>0.0</v>
      </c>
      <c r="V175" s="527"/>
      <c r="Y175" s="527"/>
      <c r="AA175" s="527"/>
      <c r="AD175" s="527"/>
      <c r="AF175" s="527"/>
      <c r="AN175" s="528">
        <v>0.0</v>
      </c>
      <c r="AO175" s="529"/>
    </row>
    <row r="176" ht="15.75" customHeight="1">
      <c r="A176" s="505"/>
      <c r="B176" s="530"/>
      <c r="G176" s="531"/>
      <c r="I176" s="531"/>
      <c r="M176" s="531"/>
      <c r="P176" s="531"/>
      <c r="T176" s="532">
        <v>0.0</v>
      </c>
      <c r="V176" s="531"/>
      <c r="Y176" s="531"/>
      <c r="AA176" s="531"/>
      <c r="AD176" s="531"/>
      <c r="AF176" s="531"/>
      <c r="AN176" s="532">
        <v>0.0</v>
      </c>
      <c r="AO176" s="533"/>
    </row>
    <row r="177" ht="15.75" customHeight="1">
      <c r="A177" s="505"/>
      <c r="B177" s="526"/>
      <c r="G177" s="527"/>
      <c r="I177" s="527"/>
      <c r="M177" s="527"/>
      <c r="P177" s="527"/>
      <c r="T177" s="528">
        <v>0.0</v>
      </c>
      <c r="V177" s="527"/>
      <c r="Y177" s="527"/>
      <c r="AA177" s="527"/>
      <c r="AD177" s="527"/>
      <c r="AF177" s="527"/>
      <c r="AN177" s="528">
        <v>0.0</v>
      </c>
      <c r="AO177" s="529"/>
    </row>
    <row r="178" ht="15.75" customHeight="1">
      <c r="A178" s="505"/>
      <c r="B178" s="530"/>
      <c r="G178" s="531"/>
      <c r="I178" s="531"/>
      <c r="M178" s="531"/>
      <c r="P178" s="531"/>
      <c r="T178" s="532">
        <v>0.0</v>
      </c>
      <c r="V178" s="531"/>
      <c r="Y178" s="531"/>
      <c r="AA178" s="531"/>
      <c r="AD178" s="531"/>
      <c r="AF178" s="531"/>
      <c r="AN178" s="532">
        <v>0.0</v>
      </c>
      <c r="AO178" s="533"/>
    </row>
    <row r="179" ht="15.75" customHeight="1">
      <c r="A179" s="505"/>
      <c r="B179" s="526"/>
      <c r="G179" s="527"/>
      <c r="I179" s="527"/>
      <c r="M179" s="527"/>
      <c r="P179" s="527"/>
      <c r="T179" s="528">
        <v>0.0</v>
      </c>
      <c r="V179" s="527"/>
      <c r="Y179" s="527"/>
      <c r="AA179" s="527"/>
      <c r="AD179" s="527"/>
      <c r="AF179" s="527"/>
      <c r="AN179" s="528">
        <v>0.0</v>
      </c>
      <c r="AO179" s="529"/>
    </row>
    <row r="180" ht="15.75" customHeight="1">
      <c r="A180" s="505"/>
      <c r="B180" s="530"/>
      <c r="G180" s="531"/>
      <c r="I180" s="531"/>
      <c r="M180" s="531"/>
      <c r="P180" s="531"/>
      <c r="T180" s="532">
        <v>0.0</v>
      </c>
      <c r="V180" s="531"/>
      <c r="Y180" s="531"/>
      <c r="AA180" s="531"/>
      <c r="AD180" s="531"/>
      <c r="AF180" s="531"/>
      <c r="AN180" s="532">
        <v>0.0</v>
      </c>
      <c r="AO180" s="533"/>
    </row>
    <row r="181" ht="15.75" customHeight="1">
      <c r="A181" s="505"/>
      <c r="B181" s="526"/>
      <c r="G181" s="527"/>
      <c r="I181" s="527"/>
      <c r="M181" s="527"/>
      <c r="P181" s="527"/>
      <c r="T181" s="528">
        <v>0.0</v>
      </c>
      <c r="V181" s="527"/>
      <c r="Y181" s="527"/>
      <c r="AA181" s="527"/>
      <c r="AD181" s="527"/>
      <c r="AF181" s="527"/>
      <c r="AN181" s="528">
        <v>0.0</v>
      </c>
      <c r="AO181" s="529"/>
    </row>
    <row r="182" ht="15.75" customHeight="1">
      <c r="A182" s="505"/>
      <c r="B182" s="530"/>
      <c r="G182" s="531"/>
      <c r="I182" s="531"/>
      <c r="M182" s="531"/>
      <c r="P182" s="531"/>
      <c r="T182" s="532">
        <v>0.0</v>
      </c>
      <c r="V182" s="531"/>
      <c r="Y182" s="531"/>
      <c r="AA182" s="531"/>
      <c r="AD182" s="531"/>
      <c r="AF182" s="531"/>
      <c r="AN182" s="532">
        <v>0.0</v>
      </c>
      <c r="AO182" s="533"/>
    </row>
    <row r="183" ht="15.75" customHeight="1">
      <c r="A183" s="505"/>
      <c r="B183" s="526"/>
      <c r="G183" s="527"/>
      <c r="I183" s="527"/>
      <c r="M183" s="527"/>
      <c r="P183" s="527"/>
      <c r="T183" s="528">
        <v>0.0</v>
      </c>
      <c r="V183" s="527"/>
      <c r="Y183" s="527"/>
      <c r="AA183" s="527"/>
      <c r="AD183" s="527"/>
      <c r="AF183" s="527"/>
      <c r="AN183" s="528">
        <v>0.0</v>
      </c>
      <c r="AO183" s="529"/>
    </row>
    <row r="184" ht="15.75" customHeight="1">
      <c r="A184" s="505"/>
      <c r="B184" s="530"/>
      <c r="G184" s="531"/>
      <c r="I184" s="531"/>
      <c r="M184" s="531"/>
      <c r="P184" s="531"/>
      <c r="T184" s="532">
        <v>0.0</v>
      </c>
      <c r="V184" s="531"/>
      <c r="Y184" s="531"/>
      <c r="AA184" s="531"/>
      <c r="AD184" s="531"/>
      <c r="AF184" s="531"/>
      <c r="AN184" s="532">
        <v>0.0</v>
      </c>
      <c r="AO184" s="533"/>
    </row>
    <row r="185" ht="15.75" customHeight="1">
      <c r="A185" s="505"/>
      <c r="B185" s="526"/>
      <c r="G185" s="527"/>
      <c r="I185" s="527"/>
      <c r="M185" s="527"/>
      <c r="P185" s="527"/>
      <c r="T185" s="528">
        <v>0.0</v>
      </c>
      <c r="V185" s="527"/>
      <c r="Y185" s="527"/>
      <c r="AA185" s="527"/>
      <c r="AD185" s="527"/>
      <c r="AF185" s="527"/>
      <c r="AN185" s="528">
        <v>0.0</v>
      </c>
      <c r="AO185" s="529"/>
    </row>
    <row r="186" ht="15.75" customHeight="1">
      <c r="A186" s="505"/>
      <c r="B186" s="530"/>
      <c r="G186" s="531"/>
      <c r="I186" s="531"/>
      <c r="M186" s="531"/>
      <c r="P186" s="531"/>
      <c r="T186" s="532">
        <v>0.0</v>
      </c>
      <c r="V186" s="531"/>
      <c r="Y186" s="531"/>
      <c r="AA186" s="531"/>
      <c r="AD186" s="531"/>
      <c r="AF186" s="531"/>
      <c r="AN186" s="532">
        <v>0.0</v>
      </c>
      <c r="AO186" s="533"/>
    </row>
    <row r="187" ht="15.75" customHeight="1">
      <c r="A187" s="505"/>
      <c r="B187" s="526"/>
      <c r="G187" s="527"/>
      <c r="I187" s="527"/>
      <c r="M187" s="527"/>
      <c r="P187" s="527"/>
      <c r="T187" s="528">
        <v>0.0</v>
      </c>
      <c r="V187" s="527"/>
      <c r="Y187" s="527"/>
      <c r="AA187" s="527"/>
      <c r="AD187" s="527"/>
      <c r="AF187" s="527"/>
      <c r="AN187" s="528">
        <v>0.0</v>
      </c>
      <c r="AO187" s="529"/>
    </row>
    <row r="188" ht="15.75" customHeight="1">
      <c r="A188" s="505"/>
      <c r="B188" s="530"/>
      <c r="G188" s="531"/>
      <c r="I188" s="531"/>
      <c r="M188" s="531"/>
      <c r="P188" s="531"/>
      <c r="T188" s="532">
        <v>0.0</v>
      </c>
      <c r="V188" s="531"/>
      <c r="Y188" s="531"/>
      <c r="AA188" s="531"/>
      <c r="AD188" s="531"/>
      <c r="AF188" s="531"/>
      <c r="AN188" s="532">
        <v>0.0</v>
      </c>
      <c r="AO188" s="533"/>
    </row>
    <row r="189" ht="15.75" customHeight="1">
      <c r="A189" s="505"/>
      <c r="B189" s="526"/>
      <c r="G189" s="527"/>
      <c r="I189" s="527"/>
      <c r="M189" s="527"/>
      <c r="P189" s="527"/>
      <c r="T189" s="528">
        <v>0.0</v>
      </c>
      <c r="V189" s="527"/>
      <c r="Y189" s="527"/>
      <c r="AA189" s="527"/>
      <c r="AD189" s="527"/>
      <c r="AF189" s="527"/>
      <c r="AN189" s="528">
        <v>0.0</v>
      </c>
      <c r="AO189" s="529"/>
    </row>
    <row r="190" ht="15.75" customHeight="1">
      <c r="A190" s="505"/>
      <c r="B190" s="530"/>
      <c r="G190" s="531"/>
      <c r="I190" s="531"/>
      <c r="M190" s="531"/>
      <c r="P190" s="531"/>
      <c r="T190" s="532">
        <v>0.0</v>
      </c>
      <c r="V190" s="531"/>
      <c r="Y190" s="531"/>
      <c r="AA190" s="531"/>
      <c r="AD190" s="531"/>
      <c r="AF190" s="531"/>
      <c r="AN190" s="532">
        <v>0.0</v>
      </c>
      <c r="AO190" s="533"/>
    </row>
    <row r="191" ht="15.75" customHeight="1">
      <c r="A191" s="505"/>
      <c r="B191" s="526"/>
      <c r="G191" s="527"/>
      <c r="I191" s="527"/>
      <c r="M191" s="527"/>
      <c r="P191" s="527"/>
      <c r="T191" s="528">
        <v>0.0</v>
      </c>
      <c r="V191" s="527"/>
      <c r="Y191" s="527"/>
      <c r="AA191" s="527"/>
      <c r="AD191" s="527"/>
      <c r="AF191" s="527"/>
      <c r="AN191" s="528">
        <v>0.0</v>
      </c>
      <c r="AO191" s="529"/>
    </row>
    <row r="192" ht="15.75" customHeight="1">
      <c r="A192" s="505"/>
      <c r="B192" s="530"/>
      <c r="G192" s="531"/>
      <c r="I192" s="531"/>
      <c r="M192" s="531"/>
      <c r="P192" s="531"/>
      <c r="T192" s="532">
        <v>0.0</v>
      </c>
      <c r="V192" s="531"/>
      <c r="Y192" s="531"/>
      <c r="AA192" s="531"/>
      <c r="AD192" s="531"/>
      <c r="AF192" s="531"/>
      <c r="AN192" s="532">
        <v>0.0</v>
      </c>
      <c r="AO192" s="533"/>
    </row>
    <row r="193" ht="15.75" customHeight="1">
      <c r="A193" s="505"/>
      <c r="B193" s="526"/>
      <c r="G193" s="527"/>
      <c r="I193" s="527"/>
      <c r="M193" s="527"/>
      <c r="P193" s="527"/>
      <c r="T193" s="528">
        <v>0.0</v>
      </c>
      <c r="V193" s="527"/>
      <c r="Y193" s="527"/>
      <c r="AA193" s="527"/>
      <c r="AD193" s="527"/>
      <c r="AF193" s="527"/>
      <c r="AN193" s="528">
        <v>0.0</v>
      </c>
      <c r="AO193" s="529"/>
    </row>
    <row r="194" ht="15.75" customHeight="1">
      <c r="A194" s="505"/>
      <c r="B194" s="530"/>
      <c r="G194" s="531"/>
      <c r="I194" s="531"/>
      <c r="M194" s="531"/>
      <c r="P194" s="531"/>
      <c r="T194" s="532">
        <v>0.0</v>
      </c>
      <c r="V194" s="531"/>
      <c r="Y194" s="531"/>
      <c r="AA194" s="531"/>
      <c r="AD194" s="531"/>
      <c r="AF194" s="531"/>
      <c r="AN194" s="532">
        <v>0.0</v>
      </c>
      <c r="AO194" s="533"/>
    </row>
    <row r="195" ht="15.75" customHeight="1">
      <c r="A195" s="505"/>
      <c r="B195" s="526"/>
      <c r="G195" s="527"/>
      <c r="I195" s="527"/>
      <c r="M195" s="527"/>
      <c r="P195" s="527"/>
      <c r="T195" s="528">
        <v>0.0</v>
      </c>
      <c r="V195" s="527"/>
      <c r="Y195" s="527"/>
      <c r="AA195" s="527"/>
      <c r="AD195" s="527"/>
      <c r="AF195" s="527"/>
      <c r="AN195" s="528">
        <v>0.0</v>
      </c>
      <c r="AO195" s="529"/>
    </row>
    <row r="196" ht="15.75" customHeight="1">
      <c r="A196" s="505"/>
      <c r="B196" s="530"/>
      <c r="G196" s="531"/>
      <c r="I196" s="531"/>
      <c r="M196" s="531"/>
      <c r="P196" s="531"/>
      <c r="T196" s="532">
        <v>0.0</v>
      </c>
      <c r="V196" s="531"/>
      <c r="Y196" s="531"/>
      <c r="AA196" s="531"/>
      <c r="AD196" s="531"/>
      <c r="AF196" s="531"/>
      <c r="AN196" s="532">
        <v>0.0</v>
      </c>
      <c r="AO196" s="533"/>
    </row>
    <row r="197" ht="15.75" customHeight="1">
      <c r="A197" s="505"/>
      <c r="B197" s="526"/>
      <c r="G197" s="527"/>
      <c r="I197" s="527"/>
      <c r="M197" s="527"/>
      <c r="P197" s="527"/>
      <c r="T197" s="528">
        <v>0.0</v>
      </c>
      <c r="V197" s="527"/>
      <c r="Y197" s="527"/>
      <c r="AA197" s="527"/>
      <c r="AD197" s="527"/>
      <c r="AF197" s="527"/>
      <c r="AN197" s="528">
        <v>0.0</v>
      </c>
      <c r="AO197" s="529"/>
    </row>
    <row r="198" ht="15.75" customHeight="1">
      <c r="A198" s="505"/>
      <c r="B198" s="530"/>
      <c r="G198" s="531"/>
      <c r="I198" s="531"/>
      <c r="M198" s="531"/>
      <c r="P198" s="531"/>
      <c r="T198" s="532">
        <v>0.0</v>
      </c>
      <c r="V198" s="531"/>
      <c r="Y198" s="531"/>
      <c r="AA198" s="531"/>
      <c r="AD198" s="531"/>
      <c r="AF198" s="531"/>
      <c r="AN198" s="532">
        <v>0.0</v>
      </c>
      <c r="AO198" s="533"/>
    </row>
    <row r="199" ht="15.75" customHeight="1">
      <c r="A199" s="505"/>
      <c r="B199" s="526"/>
      <c r="G199" s="527"/>
      <c r="I199" s="527"/>
      <c r="M199" s="527"/>
      <c r="P199" s="527"/>
      <c r="T199" s="528">
        <v>0.0</v>
      </c>
      <c r="V199" s="527"/>
      <c r="Y199" s="527"/>
      <c r="AA199" s="527"/>
      <c r="AD199" s="527"/>
      <c r="AF199" s="527"/>
      <c r="AN199" s="528">
        <v>0.0</v>
      </c>
      <c r="AO199" s="529"/>
    </row>
    <row r="200" ht="15.75" customHeight="1">
      <c r="A200" s="505"/>
      <c r="B200" s="530"/>
      <c r="G200" s="531"/>
      <c r="I200" s="531"/>
      <c r="M200" s="531"/>
      <c r="P200" s="531"/>
      <c r="T200" s="532">
        <v>0.0</v>
      </c>
      <c r="V200" s="531"/>
      <c r="Y200" s="531"/>
      <c r="AA200" s="531"/>
      <c r="AD200" s="531"/>
      <c r="AF200" s="531"/>
      <c r="AN200" s="532">
        <v>0.0</v>
      </c>
      <c r="AO200" s="533"/>
    </row>
    <row r="201" ht="15.75" customHeight="1">
      <c r="A201" s="505"/>
      <c r="B201" s="526"/>
      <c r="G201" s="527"/>
      <c r="I201" s="527"/>
      <c r="M201" s="527"/>
      <c r="P201" s="527"/>
      <c r="T201" s="528">
        <v>0.0</v>
      </c>
      <c r="V201" s="527"/>
      <c r="Y201" s="527"/>
      <c r="AA201" s="527"/>
      <c r="AD201" s="527"/>
      <c r="AF201" s="527"/>
      <c r="AN201" s="528">
        <v>0.0</v>
      </c>
      <c r="AO201" s="529"/>
    </row>
  </sheetData>
  <mergeCells count="2361">
    <mergeCell ref="Y8:Z8"/>
    <mergeCell ref="AA8:AC8"/>
    <mergeCell ref="AD8:AE8"/>
    <mergeCell ref="AF8:AM8"/>
    <mergeCell ref="AN8:AO8"/>
    <mergeCell ref="B8:F8"/>
    <mergeCell ref="G8:H8"/>
    <mergeCell ref="I8:L8"/>
    <mergeCell ref="M8:O8"/>
    <mergeCell ref="P8:S8"/>
    <mergeCell ref="T8:U8"/>
    <mergeCell ref="V8:X8"/>
    <mergeCell ref="Y9:Z9"/>
    <mergeCell ref="AA9:AC9"/>
    <mergeCell ref="AD9:AE9"/>
    <mergeCell ref="AF9:AM9"/>
    <mergeCell ref="AN9:AO9"/>
    <mergeCell ref="B9:F9"/>
    <mergeCell ref="G9:H9"/>
    <mergeCell ref="I9:L9"/>
    <mergeCell ref="M9:O9"/>
    <mergeCell ref="P9:S9"/>
    <mergeCell ref="T9:U9"/>
    <mergeCell ref="V9:X9"/>
    <mergeCell ref="Y10:Z10"/>
    <mergeCell ref="AA10:AC10"/>
    <mergeCell ref="AD10:AE10"/>
    <mergeCell ref="AF10:AM10"/>
    <mergeCell ref="AN10:AO10"/>
    <mergeCell ref="B10:F10"/>
    <mergeCell ref="G10:H10"/>
    <mergeCell ref="I10:L10"/>
    <mergeCell ref="M10:O10"/>
    <mergeCell ref="P10:S10"/>
    <mergeCell ref="T10:U10"/>
    <mergeCell ref="V10:X10"/>
    <mergeCell ref="Y11:Z11"/>
    <mergeCell ref="AA11:AC11"/>
    <mergeCell ref="AD11:AE11"/>
    <mergeCell ref="AF11:AM11"/>
    <mergeCell ref="AN11:AO11"/>
    <mergeCell ref="B11:F11"/>
    <mergeCell ref="G11:H11"/>
    <mergeCell ref="I11:L11"/>
    <mergeCell ref="M11:O11"/>
    <mergeCell ref="P11:S11"/>
    <mergeCell ref="T11:U11"/>
    <mergeCell ref="V11:X11"/>
    <mergeCell ref="Y12:Z12"/>
    <mergeCell ref="AA12:AC12"/>
    <mergeCell ref="AD12:AE12"/>
    <mergeCell ref="AF12:AM12"/>
    <mergeCell ref="AN12:AO12"/>
    <mergeCell ref="B12:F12"/>
    <mergeCell ref="G12:H12"/>
    <mergeCell ref="I12:L12"/>
    <mergeCell ref="M12:O12"/>
    <mergeCell ref="P12:S12"/>
    <mergeCell ref="T12:U12"/>
    <mergeCell ref="V12:X12"/>
    <mergeCell ref="Y13:Z13"/>
    <mergeCell ref="AA13:AC13"/>
    <mergeCell ref="AD13:AE13"/>
    <mergeCell ref="AF13:AM13"/>
    <mergeCell ref="AN13:AO13"/>
    <mergeCell ref="B13:F13"/>
    <mergeCell ref="G13:H13"/>
    <mergeCell ref="I13:L13"/>
    <mergeCell ref="M13:O13"/>
    <mergeCell ref="P13:S13"/>
    <mergeCell ref="T13:U13"/>
    <mergeCell ref="V13:X13"/>
    <mergeCell ref="Y14:Z14"/>
    <mergeCell ref="AA14:AC14"/>
    <mergeCell ref="AD14:AE14"/>
    <mergeCell ref="AF14:AM14"/>
    <mergeCell ref="AN14:AO14"/>
    <mergeCell ref="B14:F14"/>
    <mergeCell ref="G14:H14"/>
    <mergeCell ref="I14:L14"/>
    <mergeCell ref="M14:O14"/>
    <mergeCell ref="P14:S14"/>
    <mergeCell ref="T14:U14"/>
    <mergeCell ref="V14:X14"/>
    <mergeCell ref="Y15:Z15"/>
    <mergeCell ref="AA15:AC15"/>
    <mergeCell ref="AD15:AE15"/>
    <mergeCell ref="AF15:AM15"/>
    <mergeCell ref="AN15:AO15"/>
    <mergeCell ref="B15:F15"/>
    <mergeCell ref="G15:H15"/>
    <mergeCell ref="I15:L15"/>
    <mergeCell ref="M15:O15"/>
    <mergeCell ref="P15:S15"/>
    <mergeCell ref="T15:U15"/>
    <mergeCell ref="V15:X15"/>
    <mergeCell ref="Y16:Z16"/>
    <mergeCell ref="AA16:AC16"/>
    <mergeCell ref="AD16:AE16"/>
    <mergeCell ref="AF16:AM16"/>
    <mergeCell ref="AN16:AO16"/>
    <mergeCell ref="B16:F16"/>
    <mergeCell ref="G16:H16"/>
    <mergeCell ref="I16:L16"/>
    <mergeCell ref="M16:O16"/>
    <mergeCell ref="P16:S16"/>
    <mergeCell ref="T16:U16"/>
    <mergeCell ref="V16:X16"/>
    <mergeCell ref="Y17:Z17"/>
    <mergeCell ref="AA17:AC17"/>
    <mergeCell ref="AD17:AE17"/>
    <mergeCell ref="AF17:AM17"/>
    <mergeCell ref="AN17:AO17"/>
    <mergeCell ref="B17:F17"/>
    <mergeCell ref="G17:H17"/>
    <mergeCell ref="I17:L17"/>
    <mergeCell ref="M17:O17"/>
    <mergeCell ref="P17:S17"/>
    <mergeCell ref="T17:U17"/>
    <mergeCell ref="V17:X17"/>
    <mergeCell ref="Y18:Z18"/>
    <mergeCell ref="AA18:AC18"/>
    <mergeCell ref="AD18:AE18"/>
    <mergeCell ref="AF18:AM18"/>
    <mergeCell ref="AN18:AO18"/>
    <mergeCell ref="B18:F18"/>
    <mergeCell ref="G18:H18"/>
    <mergeCell ref="I18:L18"/>
    <mergeCell ref="M18:O18"/>
    <mergeCell ref="P18:S18"/>
    <mergeCell ref="T18:U18"/>
    <mergeCell ref="V18:X18"/>
    <mergeCell ref="Y19:Z19"/>
    <mergeCell ref="AA19:AC19"/>
    <mergeCell ref="AD19:AE19"/>
    <mergeCell ref="AF19:AM19"/>
    <mergeCell ref="AN19:AO19"/>
    <mergeCell ref="B19:F19"/>
    <mergeCell ref="G19:H19"/>
    <mergeCell ref="I19:L19"/>
    <mergeCell ref="M19:O19"/>
    <mergeCell ref="P19:S19"/>
    <mergeCell ref="T19:U19"/>
    <mergeCell ref="V19:X19"/>
    <mergeCell ref="Y20:Z20"/>
    <mergeCell ref="AA20:AC20"/>
    <mergeCell ref="AD20:AE20"/>
    <mergeCell ref="AF20:AM20"/>
    <mergeCell ref="AN20:AO20"/>
    <mergeCell ref="B20:F20"/>
    <mergeCell ref="G20:H20"/>
    <mergeCell ref="I20:L20"/>
    <mergeCell ref="M20:O20"/>
    <mergeCell ref="P20:S20"/>
    <mergeCell ref="T20:U20"/>
    <mergeCell ref="V20:X20"/>
    <mergeCell ref="Y21:Z21"/>
    <mergeCell ref="AA21:AC21"/>
    <mergeCell ref="AD21:AE21"/>
    <mergeCell ref="AF21:AM21"/>
    <mergeCell ref="AN21:AO21"/>
    <mergeCell ref="B21:F21"/>
    <mergeCell ref="G21:H21"/>
    <mergeCell ref="I21:L21"/>
    <mergeCell ref="M21:O21"/>
    <mergeCell ref="P21:S21"/>
    <mergeCell ref="T21:U21"/>
    <mergeCell ref="V21:X21"/>
    <mergeCell ref="Y22:Z22"/>
    <mergeCell ref="AA22:AC22"/>
    <mergeCell ref="AD22:AE22"/>
    <mergeCell ref="AF22:AM22"/>
    <mergeCell ref="AN22:AO22"/>
    <mergeCell ref="B22:F22"/>
    <mergeCell ref="G22:H22"/>
    <mergeCell ref="I22:L22"/>
    <mergeCell ref="M22:O22"/>
    <mergeCell ref="P22:S22"/>
    <mergeCell ref="T22:U22"/>
    <mergeCell ref="V22:X22"/>
    <mergeCell ref="Y23:Z23"/>
    <mergeCell ref="AA23:AC23"/>
    <mergeCell ref="AD23:AE23"/>
    <mergeCell ref="AF23:AM23"/>
    <mergeCell ref="AN23:AO23"/>
    <mergeCell ref="B23:F23"/>
    <mergeCell ref="G23:H23"/>
    <mergeCell ref="I23:L23"/>
    <mergeCell ref="M23:O23"/>
    <mergeCell ref="P23:S23"/>
    <mergeCell ref="T23:U23"/>
    <mergeCell ref="V23:X23"/>
    <mergeCell ref="Y24:Z24"/>
    <mergeCell ref="AA24:AC24"/>
    <mergeCell ref="AD24:AE24"/>
    <mergeCell ref="AF24:AM24"/>
    <mergeCell ref="AN24:AO24"/>
    <mergeCell ref="B24:F24"/>
    <mergeCell ref="G24:H24"/>
    <mergeCell ref="I24:L24"/>
    <mergeCell ref="M24:O24"/>
    <mergeCell ref="P24:S24"/>
    <mergeCell ref="T24:U24"/>
    <mergeCell ref="V24:X24"/>
    <mergeCell ref="Y25:Z25"/>
    <mergeCell ref="AA25:AC25"/>
    <mergeCell ref="AD25:AE25"/>
    <mergeCell ref="AF25:AM25"/>
    <mergeCell ref="AN25:AO25"/>
    <mergeCell ref="B25:F25"/>
    <mergeCell ref="G25:H25"/>
    <mergeCell ref="I25:L25"/>
    <mergeCell ref="M25:O25"/>
    <mergeCell ref="P25:S25"/>
    <mergeCell ref="T25:U25"/>
    <mergeCell ref="V25:X25"/>
    <mergeCell ref="Y26:Z26"/>
    <mergeCell ref="AA26:AC26"/>
    <mergeCell ref="AD26:AE26"/>
    <mergeCell ref="AF26:AM26"/>
    <mergeCell ref="AN26:AO26"/>
    <mergeCell ref="B26:F26"/>
    <mergeCell ref="G26:H26"/>
    <mergeCell ref="I26:L26"/>
    <mergeCell ref="M26:O26"/>
    <mergeCell ref="P26:S26"/>
    <mergeCell ref="T26:U26"/>
    <mergeCell ref="V26:X26"/>
    <mergeCell ref="Y27:Z27"/>
    <mergeCell ref="AA27:AC27"/>
    <mergeCell ref="AD27:AE27"/>
    <mergeCell ref="AF27:AM27"/>
    <mergeCell ref="AN27:AO27"/>
    <mergeCell ref="B27:F27"/>
    <mergeCell ref="G27:H27"/>
    <mergeCell ref="I27:L27"/>
    <mergeCell ref="M27:O27"/>
    <mergeCell ref="P27:S27"/>
    <mergeCell ref="T27:U27"/>
    <mergeCell ref="V27:X27"/>
    <mergeCell ref="Y28:Z28"/>
    <mergeCell ref="AA28:AC28"/>
    <mergeCell ref="AD28:AE28"/>
    <mergeCell ref="AF28:AM28"/>
    <mergeCell ref="AN28:AO28"/>
    <mergeCell ref="B28:F28"/>
    <mergeCell ref="G28:H28"/>
    <mergeCell ref="I28:L28"/>
    <mergeCell ref="M28:O28"/>
    <mergeCell ref="P28:S28"/>
    <mergeCell ref="T28:U28"/>
    <mergeCell ref="V28:X28"/>
    <mergeCell ref="Y29:Z29"/>
    <mergeCell ref="AA29:AC29"/>
    <mergeCell ref="AD29:AE29"/>
    <mergeCell ref="AF29:AM29"/>
    <mergeCell ref="AN29:AO29"/>
    <mergeCell ref="B29:F29"/>
    <mergeCell ref="G29:H29"/>
    <mergeCell ref="I29:L29"/>
    <mergeCell ref="M29:O29"/>
    <mergeCell ref="P29:S29"/>
    <mergeCell ref="T29:U29"/>
    <mergeCell ref="V29:X29"/>
    <mergeCell ref="Y30:Z30"/>
    <mergeCell ref="AA30:AC30"/>
    <mergeCell ref="AD30:AE30"/>
    <mergeCell ref="AF30:AM30"/>
    <mergeCell ref="AN30:AO30"/>
    <mergeCell ref="B30:F30"/>
    <mergeCell ref="G30:H30"/>
    <mergeCell ref="I30:L30"/>
    <mergeCell ref="M30:O30"/>
    <mergeCell ref="P30:S30"/>
    <mergeCell ref="T30:U30"/>
    <mergeCell ref="V30:X30"/>
    <mergeCell ref="Y31:Z31"/>
    <mergeCell ref="AA31:AC31"/>
    <mergeCell ref="AD31:AE31"/>
    <mergeCell ref="AF31:AM31"/>
    <mergeCell ref="AN31:AO31"/>
    <mergeCell ref="B31:F31"/>
    <mergeCell ref="G31:H31"/>
    <mergeCell ref="I31:L31"/>
    <mergeCell ref="M31:O31"/>
    <mergeCell ref="P31:S31"/>
    <mergeCell ref="T31:U31"/>
    <mergeCell ref="V31:X31"/>
    <mergeCell ref="Y32:Z32"/>
    <mergeCell ref="AA32:AC32"/>
    <mergeCell ref="AD32:AE32"/>
    <mergeCell ref="AF32:AM32"/>
    <mergeCell ref="AN32:AO32"/>
    <mergeCell ref="B32:F32"/>
    <mergeCell ref="G32:H32"/>
    <mergeCell ref="I32:L32"/>
    <mergeCell ref="M32:O32"/>
    <mergeCell ref="P32:S32"/>
    <mergeCell ref="T32:U32"/>
    <mergeCell ref="V32:X32"/>
    <mergeCell ref="Y33:Z33"/>
    <mergeCell ref="AA33:AC33"/>
    <mergeCell ref="AD33:AE33"/>
    <mergeCell ref="AF33:AM33"/>
    <mergeCell ref="AN33:AO33"/>
    <mergeCell ref="B33:F33"/>
    <mergeCell ref="G33:H33"/>
    <mergeCell ref="I33:L33"/>
    <mergeCell ref="M33:O33"/>
    <mergeCell ref="P33:S33"/>
    <mergeCell ref="T33:U33"/>
    <mergeCell ref="V33:X33"/>
    <mergeCell ref="Y34:Z34"/>
    <mergeCell ref="AA34:AC34"/>
    <mergeCell ref="AD34:AE34"/>
    <mergeCell ref="AF34:AM34"/>
    <mergeCell ref="AN34:AO34"/>
    <mergeCell ref="B34:F34"/>
    <mergeCell ref="G34:H34"/>
    <mergeCell ref="I34:L34"/>
    <mergeCell ref="M34:O34"/>
    <mergeCell ref="P34:S34"/>
    <mergeCell ref="T34:U34"/>
    <mergeCell ref="V34:X34"/>
    <mergeCell ref="Y35:Z35"/>
    <mergeCell ref="AA35:AC35"/>
    <mergeCell ref="AD35:AE35"/>
    <mergeCell ref="AF35:AM35"/>
    <mergeCell ref="AN35:AO35"/>
    <mergeCell ref="B35:F35"/>
    <mergeCell ref="G35:H35"/>
    <mergeCell ref="I35:L35"/>
    <mergeCell ref="M35:O35"/>
    <mergeCell ref="P35:S35"/>
    <mergeCell ref="T35:U35"/>
    <mergeCell ref="V35:X35"/>
    <mergeCell ref="Y36:Z36"/>
    <mergeCell ref="AA36:AC36"/>
    <mergeCell ref="AD36:AE36"/>
    <mergeCell ref="AF36:AM36"/>
    <mergeCell ref="AN36:AO36"/>
    <mergeCell ref="B36:F36"/>
    <mergeCell ref="G36:H36"/>
    <mergeCell ref="I36:L36"/>
    <mergeCell ref="M36:O36"/>
    <mergeCell ref="P36:S36"/>
    <mergeCell ref="T36:U36"/>
    <mergeCell ref="V36:X36"/>
    <mergeCell ref="Y37:Z37"/>
    <mergeCell ref="AA37:AC37"/>
    <mergeCell ref="AD37:AE37"/>
    <mergeCell ref="AF37:AM37"/>
    <mergeCell ref="AN37:AO37"/>
    <mergeCell ref="B37:F37"/>
    <mergeCell ref="G37:H37"/>
    <mergeCell ref="I37:L37"/>
    <mergeCell ref="M37:O37"/>
    <mergeCell ref="P37:S37"/>
    <mergeCell ref="T37:U37"/>
    <mergeCell ref="V37:X37"/>
    <mergeCell ref="Y38:Z38"/>
    <mergeCell ref="AA38:AC38"/>
    <mergeCell ref="AD38:AE38"/>
    <mergeCell ref="AF38:AM38"/>
    <mergeCell ref="AN38:AO38"/>
    <mergeCell ref="B38:F38"/>
    <mergeCell ref="G38:H38"/>
    <mergeCell ref="I38:L38"/>
    <mergeCell ref="M38:O38"/>
    <mergeCell ref="P38:S38"/>
    <mergeCell ref="T38:U38"/>
    <mergeCell ref="V38:X38"/>
    <mergeCell ref="Y39:Z39"/>
    <mergeCell ref="AA39:AC39"/>
    <mergeCell ref="AD39:AE39"/>
    <mergeCell ref="AF39:AM39"/>
    <mergeCell ref="AN39:AO39"/>
    <mergeCell ref="B39:F39"/>
    <mergeCell ref="G39:H39"/>
    <mergeCell ref="I39:L39"/>
    <mergeCell ref="M39:O39"/>
    <mergeCell ref="P39:S39"/>
    <mergeCell ref="T39:U39"/>
    <mergeCell ref="V39:X39"/>
    <mergeCell ref="Y40:Z40"/>
    <mergeCell ref="AA40:AC40"/>
    <mergeCell ref="AD40:AE40"/>
    <mergeCell ref="AF40:AM40"/>
    <mergeCell ref="AN40:AO40"/>
    <mergeCell ref="B40:F40"/>
    <mergeCell ref="G40:H40"/>
    <mergeCell ref="I40:L40"/>
    <mergeCell ref="M40:O40"/>
    <mergeCell ref="P40:S40"/>
    <mergeCell ref="T40:U40"/>
    <mergeCell ref="V40:X40"/>
    <mergeCell ref="Y41:Z41"/>
    <mergeCell ref="AA41:AC41"/>
    <mergeCell ref="AD41:AE41"/>
    <mergeCell ref="AF41:AM41"/>
    <mergeCell ref="AN41:AO41"/>
    <mergeCell ref="B41:F41"/>
    <mergeCell ref="G41:H41"/>
    <mergeCell ref="I41:L41"/>
    <mergeCell ref="M41:O41"/>
    <mergeCell ref="P41:S41"/>
    <mergeCell ref="T41:U41"/>
    <mergeCell ref="V41:X41"/>
    <mergeCell ref="Y42:Z42"/>
    <mergeCell ref="AA42:AC42"/>
    <mergeCell ref="AD42:AE42"/>
    <mergeCell ref="AF42:AM42"/>
    <mergeCell ref="AN42:AO42"/>
    <mergeCell ref="B42:F42"/>
    <mergeCell ref="G42:H42"/>
    <mergeCell ref="I42:L42"/>
    <mergeCell ref="M42:O42"/>
    <mergeCell ref="P42:S42"/>
    <mergeCell ref="T42:U42"/>
    <mergeCell ref="V42:X42"/>
    <mergeCell ref="Y43:Z43"/>
    <mergeCell ref="AA43:AC43"/>
    <mergeCell ref="AD43:AE43"/>
    <mergeCell ref="AF43:AM43"/>
    <mergeCell ref="AN43:AO43"/>
    <mergeCell ref="B43:F43"/>
    <mergeCell ref="G43:H43"/>
    <mergeCell ref="I43:L43"/>
    <mergeCell ref="M43:O43"/>
    <mergeCell ref="P43:S43"/>
    <mergeCell ref="T43:U43"/>
    <mergeCell ref="V43:X43"/>
    <mergeCell ref="Y44:Z44"/>
    <mergeCell ref="AA44:AC44"/>
    <mergeCell ref="AD44:AE44"/>
    <mergeCell ref="AF44:AM44"/>
    <mergeCell ref="AN44:AO44"/>
    <mergeCell ref="B44:F44"/>
    <mergeCell ref="G44:H44"/>
    <mergeCell ref="I44:L44"/>
    <mergeCell ref="M44:O44"/>
    <mergeCell ref="P44:S44"/>
    <mergeCell ref="T44:U44"/>
    <mergeCell ref="V44:X44"/>
    <mergeCell ref="Y45:Z45"/>
    <mergeCell ref="AA45:AC45"/>
    <mergeCell ref="AD45:AE45"/>
    <mergeCell ref="AF45:AM45"/>
    <mergeCell ref="AN45:AO45"/>
    <mergeCell ref="B45:F45"/>
    <mergeCell ref="G45:H45"/>
    <mergeCell ref="I45:L45"/>
    <mergeCell ref="M45:O45"/>
    <mergeCell ref="P45:S45"/>
    <mergeCell ref="T45:U45"/>
    <mergeCell ref="V45:X45"/>
    <mergeCell ref="Y46:Z46"/>
    <mergeCell ref="AA46:AC46"/>
    <mergeCell ref="AD46:AE46"/>
    <mergeCell ref="AF46:AM46"/>
    <mergeCell ref="AN46:AO46"/>
    <mergeCell ref="B46:F46"/>
    <mergeCell ref="G46:H46"/>
    <mergeCell ref="I46:L46"/>
    <mergeCell ref="M46:O46"/>
    <mergeCell ref="P46:S46"/>
    <mergeCell ref="T46:U46"/>
    <mergeCell ref="V46:X46"/>
    <mergeCell ref="Y47:Z47"/>
    <mergeCell ref="AA47:AC47"/>
    <mergeCell ref="AD47:AE47"/>
    <mergeCell ref="AF47:AM47"/>
    <mergeCell ref="AN47:AO47"/>
    <mergeCell ref="B47:F47"/>
    <mergeCell ref="G47:H47"/>
    <mergeCell ref="I47:L47"/>
    <mergeCell ref="M47:O47"/>
    <mergeCell ref="P47:S47"/>
    <mergeCell ref="T47:U47"/>
    <mergeCell ref="V47:X47"/>
    <mergeCell ref="Y48:Z48"/>
    <mergeCell ref="AA48:AC48"/>
    <mergeCell ref="AD48:AE48"/>
    <mergeCell ref="AF48:AM48"/>
    <mergeCell ref="AN48:AO48"/>
    <mergeCell ref="B48:F48"/>
    <mergeCell ref="G48:H48"/>
    <mergeCell ref="I48:L48"/>
    <mergeCell ref="M48:O48"/>
    <mergeCell ref="P48:S48"/>
    <mergeCell ref="T48:U48"/>
    <mergeCell ref="V48:X48"/>
    <mergeCell ref="Y49:Z49"/>
    <mergeCell ref="AA49:AC49"/>
    <mergeCell ref="AD49:AE49"/>
    <mergeCell ref="AF49:AM49"/>
    <mergeCell ref="AN49:AO49"/>
    <mergeCell ref="B49:F49"/>
    <mergeCell ref="G49:H49"/>
    <mergeCell ref="I49:L49"/>
    <mergeCell ref="M49:O49"/>
    <mergeCell ref="P49:S49"/>
    <mergeCell ref="T49:U49"/>
    <mergeCell ref="V49:X49"/>
    <mergeCell ref="Y50:Z50"/>
    <mergeCell ref="AA50:AC50"/>
    <mergeCell ref="AD50:AE50"/>
    <mergeCell ref="AF50:AM50"/>
    <mergeCell ref="AN50:AO50"/>
    <mergeCell ref="B50:F50"/>
    <mergeCell ref="G50:H50"/>
    <mergeCell ref="I50:L50"/>
    <mergeCell ref="M50:O50"/>
    <mergeCell ref="P50:S50"/>
    <mergeCell ref="T50:U50"/>
    <mergeCell ref="V50:X50"/>
    <mergeCell ref="Y51:Z51"/>
    <mergeCell ref="AA51:AC51"/>
    <mergeCell ref="AD51:AE51"/>
    <mergeCell ref="AF51:AM51"/>
    <mergeCell ref="AN51:AO51"/>
    <mergeCell ref="B51:F51"/>
    <mergeCell ref="G51:H51"/>
    <mergeCell ref="I51:L51"/>
    <mergeCell ref="M51:O51"/>
    <mergeCell ref="P51:S51"/>
    <mergeCell ref="T51:U51"/>
    <mergeCell ref="V51:X51"/>
    <mergeCell ref="Y52:Z52"/>
    <mergeCell ref="AA52:AC52"/>
    <mergeCell ref="AD52:AE52"/>
    <mergeCell ref="AF52:AM52"/>
    <mergeCell ref="AN52:AO52"/>
    <mergeCell ref="B52:F52"/>
    <mergeCell ref="G52:H52"/>
    <mergeCell ref="I52:L52"/>
    <mergeCell ref="M52:O52"/>
    <mergeCell ref="P52:S52"/>
    <mergeCell ref="T52:U52"/>
    <mergeCell ref="V52:X52"/>
    <mergeCell ref="Y53:Z53"/>
    <mergeCell ref="AA53:AC53"/>
    <mergeCell ref="AD53:AE53"/>
    <mergeCell ref="AF53:AM53"/>
    <mergeCell ref="AN53:AO53"/>
    <mergeCell ref="B53:F53"/>
    <mergeCell ref="G53:H53"/>
    <mergeCell ref="I53:L53"/>
    <mergeCell ref="M53:O53"/>
    <mergeCell ref="P53:S53"/>
    <mergeCell ref="T53:U53"/>
    <mergeCell ref="V53:X53"/>
    <mergeCell ref="Y54:Z54"/>
    <mergeCell ref="AA54:AC54"/>
    <mergeCell ref="AD54:AE54"/>
    <mergeCell ref="AF54:AM54"/>
    <mergeCell ref="AN54:AO54"/>
    <mergeCell ref="B54:F54"/>
    <mergeCell ref="G54:H54"/>
    <mergeCell ref="I54:L54"/>
    <mergeCell ref="M54:O54"/>
    <mergeCell ref="P54:S54"/>
    <mergeCell ref="T54:U54"/>
    <mergeCell ref="V54:X54"/>
    <mergeCell ref="Y55:Z55"/>
    <mergeCell ref="AA55:AC55"/>
    <mergeCell ref="AD55:AE55"/>
    <mergeCell ref="AF55:AM55"/>
    <mergeCell ref="AN55:AO55"/>
    <mergeCell ref="B55:F55"/>
    <mergeCell ref="G55:H55"/>
    <mergeCell ref="I55:L55"/>
    <mergeCell ref="M55:O55"/>
    <mergeCell ref="P55:S55"/>
    <mergeCell ref="T55:U55"/>
    <mergeCell ref="V55:X55"/>
    <mergeCell ref="Y56:Z56"/>
    <mergeCell ref="AA56:AC56"/>
    <mergeCell ref="AD56:AE56"/>
    <mergeCell ref="AF56:AM56"/>
    <mergeCell ref="AN56:AO56"/>
    <mergeCell ref="B56:F56"/>
    <mergeCell ref="G56:H56"/>
    <mergeCell ref="I56:L56"/>
    <mergeCell ref="M56:O56"/>
    <mergeCell ref="P56:S56"/>
    <mergeCell ref="T56:U56"/>
    <mergeCell ref="V56:X56"/>
    <mergeCell ref="Y57:Z57"/>
    <mergeCell ref="AA57:AC57"/>
    <mergeCell ref="AD57:AE57"/>
    <mergeCell ref="AF57:AM57"/>
    <mergeCell ref="AN57:AO57"/>
    <mergeCell ref="B57:F57"/>
    <mergeCell ref="G57:H57"/>
    <mergeCell ref="I57:L57"/>
    <mergeCell ref="M57:O57"/>
    <mergeCell ref="P57:S57"/>
    <mergeCell ref="T57:U57"/>
    <mergeCell ref="V57:X57"/>
    <mergeCell ref="Y58:Z58"/>
    <mergeCell ref="AA58:AC58"/>
    <mergeCell ref="AD58:AE58"/>
    <mergeCell ref="AF58:AM58"/>
    <mergeCell ref="AN58:AO58"/>
    <mergeCell ref="B58:F58"/>
    <mergeCell ref="G58:H58"/>
    <mergeCell ref="I58:L58"/>
    <mergeCell ref="M58:O58"/>
    <mergeCell ref="P58:S58"/>
    <mergeCell ref="T58:U58"/>
    <mergeCell ref="V58:X58"/>
    <mergeCell ref="Y59:Z59"/>
    <mergeCell ref="AA59:AC59"/>
    <mergeCell ref="AD59:AE59"/>
    <mergeCell ref="AF59:AM59"/>
    <mergeCell ref="AN59:AO59"/>
    <mergeCell ref="B59:F59"/>
    <mergeCell ref="G59:H59"/>
    <mergeCell ref="I59:L59"/>
    <mergeCell ref="M59:O59"/>
    <mergeCell ref="P59:S59"/>
    <mergeCell ref="T59:U59"/>
    <mergeCell ref="V59:X59"/>
    <mergeCell ref="Y60:Z60"/>
    <mergeCell ref="AA60:AC60"/>
    <mergeCell ref="AD60:AE60"/>
    <mergeCell ref="AF60:AM60"/>
    <mergeCell ref="AN60:AO60"/>
    <mergeCell ref="B60:F60"/>
    <mergeCell ref="G60:H60"/>
    <mergeCell ref="I60:L60"/>
    <mergeCell ref="M60:O60"/>
    <mergeCell ref="P60:S60"/>
    <mergeCell ref="T60:U60"/>
    <mergeCell ref="V60:X60"/>
    <mergeCell ref="Y61:Z61"/>
    <mergeCell ref="AA61:AC61"/>
    <mergeCell ref="AD61:AE61"/>
    <mergeCell ref="AF61:AM61"/>
    <mergeCell ref="AN61:AO61"/>
    <mergeCell ref="B61:F61"/>
    <mergeCell ref="G61:H61"/>
    <mergeCell ref="I61:L61"/>
    <mergeCell ref="M61:O61"/>
    <mergeCell ref="P61:S61"/>
    <mergeCell ref="T61:U61"/>
    <mergeCell ref="V61:X61"/>
    <mergeCell ref="Y62:Z62"/>
    <mergeCell ref="AA62:AC62"/>
    <mergeCell ref="AD62:AE62"/>
    <mergeCell ref="AF62:AM62"/>
    <mergeCell ref="AN62:AO62"/>
    <mergeCell ref="B62:F62"/>
    <mergeCell ref="G62:H62"/>
    <mergeCell ref="I62:L62"/>
    <mergeCell ref="M62:O62"/>
    <mergeCell ref="P62:S62"/>
    <mergeCell ref="T62:U62"/>
    <mergeCell ref="V62:X62"/>
    <mergeCell ref="Y63:Z63"/>
    <mergeCell ref="AA63:AC63"/>
    <mergeCell ref="AD63:AE63"/>
    <mergeCell ref="AF63:AM63"/>
    <mergeCell ref="AN63:AO63"/>
    <mergeCell ref="B63:F63"/>
    <mergeCell ref="G63:H63"/>
    <mergeCell ref="I63:L63"/>
    <mergeCell ref="M63:O63"/>
    <mergeCell ref="P63:S63"/>
    <mergeCell ref="T63:U63"/>
    <mergeCell ref="V63:X63"/>
    <mergeCell ref="Y64:Z64"/>
    <mergeCell ref="AA64:AC64"/>
    <mergeCell ref="AD64:AE64"/>
    <mergeCell ref="AF64:AM64"/>
    <mergeCell ref="AN64:AO64"/>
    <mergeCell ref="B64:F64"/>
    <mergeCell ref="G64:H64"/>
    <mergeCell ref="I64:L64"/>
    <mergeCell ref="M64:O64"/>
    <mergeCell ref="P64:S64"/>
    <mergeCell ref="T64:U64"/>
    <mergeCell ref="V64:X64"/>
    <mergeCell ref="Y65:Z65"/>
    <mergeCell ref="AA65:AC65"/>
    <mergeCell ref="AD65:AE65"/>
    <mergeCell ref="AF65:AM65"/>
    <mergeCell ref="AN65:AO65"/>
    <mergeCell ref="B65:F65"/>
    <mergeCell ref="G65:H65"/>
    <mergeCell ref="I65:L65"/>
    <mergeCell ref="M65:O65"/>
    <mergeCell ref="P65:S65"/>
    <mergeCell ref="T65:U65"/>
    <mergeCell ref="V65:X65"/>
    <mergeCell ref="Y66:Z66"/>
    <mergeCell ref="AA66:AC66"/>
    <mergeCell ref="AD66:AE66"/>
    <mergeCell ref="AF66:AM66"/>
    <mergeCell ref="AN66:AO66"/>
    <mergeCell ref="B66:F66"/>
    <mergeCell ref="G66:H66"/>
    <mergeCell ref="I66:L66"/>
    <mergeCell ref="M66:O66"/>
    <mergeCell ref="P66:S66"/>
    <mergeCell ref="T66:U66"/>
    <mergeCell ref="V66:X66"/>
    <mergeCell ref="Y67:Z67"/>
    <mergeCell ref="AA67:AC67"/>
    <mergeCell ref="AD67:AE67"/>
    <mergeCell ref="AF67:AM67"/>
    <mergeCell ref="AN67:AO67"/>
    <mergeCell ref="B67:F67"/>
    <mergeCell ref="G67:H67"/>
    <mergeCell ref="I67:L67"/>
    <mergeCell ref="M67:O67"/>
    <mergeCell ref="P67:S67"/>
    <mergeCell ref="T67:U67"/>
    <mergeCell ref="V67:X67"/>
    <mergeCell ref="Y68:Z68"/>
    <mergeCell ref="AA68:AC68"/>
    <mergeCell ref="AD68:AE68"/>
    <mergeCell ref="AF68:AM68"/>
    <mergeCell ref="AN68:AO68"/>
    <mergeCell ref="B68:F68"/>
    <mergeCell ref="G68:H68"/>
    <mergeCell ref="I68:L68"/>
    <mergeCell ref="M68:O68"/>
    <mergeCell ref="P68:S68"/>
    <mergeCell ref="T68:U68"/>
    <mergeCell ref="V68:X68"/>
    <mergeCell ref="Y69:Z69"/>
    <mergeCell ref="AA69:AC69"/>
    <mergeCell ref="AD69:AE69"/>
    <mergeCell ref="AF69:AM69"/>
    <mergeCell ref="AN69:AO69"/>
    <mergeCell ref="B69:F69"/>
    <mergeCell ref="G69:H69"/>
    <mergeCell ref="I69:L69"/>
    <mergeCell ref="M69:O69"/>
    <mergeCell ref="P69:S69"/>
    <mergeCell ref="T69:U69"/>
    <mergeCell ref="V69:X69"/>
    <mergeCell ref="Y70:Z70"/>
    <mergeCell ref="AA70:AC70"/>
    <mergeCell ref="AD70:AE70"/>
    <mergeCell ref="AF70:AM70"/>
    <mergeCell ref="AN70:AO70"/>
    <mergeCell ref="B70:F70"/>
    <mergeCell ref="G70:H70"/>
    <mergeCell ref="I70:L70"/>
    <mergeCell ref="M70:O70"/>
    <mergeCell ref="P70:S70"/>
    <mergeCell ref="T70:U70"/>
    <mergeCell ref="V70:X70"/>
    <mergeCell ref="Y71:Z71"/>
    <mergeCell ref="AA71:AC71"/>
    <mergeCell ref="AD71:AE71"/>
    <mergeCell ref="AF71:AM71"/>
    <mergeCell ref="AN71:AO71"/>
    <mergeCell ref="B71:F71"/>
    <mergeCell ref="G71:H71"/>
    <mergeCell ref="I71:L71"/>
    <mergeCell ref="M71:O71"/>
    <mergeCell ref="P71:S71"/>
    <mergeCell ref="T71:U71"/>
    <mergeCell ref="V71:X71"/>
    <mergeCell ref="Y72:Z72"/>
    <mergeCell ref="AA72:AC72"/>
    <mergeCell ref="AD72:AE72"/>
    <mergeCell ref="AF72:AM72"/>
    <mergeCell ref="AN72:AO72"/>
    <mergeCell ref="B72:F72"/>
    <mergeCell ref="G72:H72"/>
    <mergeCell ref="I72:L72"/>
    <mergeCell ref="M72:O72"/>
    <mergeCell ref="P72:S72"/>
    <mergeCell ref="T72:U72"/>
    <mergeCell ref="V72:X72"/>
    <mergeCell ref="Y73:Z73"/>
    <mergeCell ref="AA73:AC73"/>
    <mergeCell ref="AD73:AE73"/>
    <mergeCell ref="AF73:AM73"/>
    <mergeCell ref="AN73:AO73"/>
    <mergeCell ref="B73:F73"/>
    <mergeCell ref="G73:H73"/>
    <mergeCell ref="I73:L73"/>
    <mergeCell ref="M73:O73"/>
    <mergeCell ref="P73:S73"/>
    <mergeCell ref="T73:U73"/>
    <mergeCell ref="V73:X73"/>
    <mergeCell ref="Y74:Z74"/>
    <mergeCell ref="AA74:AC74"/>
    <mergeCell ref="AD74:AE74"/>
    <mergeCell ref="AF74:AM74"/>
    <mergeCell ref="AN74:AO74"/>
    <mergeCell ref="B74:F74"/>
    <mergeCell ref="G74:H74"/>
    <mergeCell ref="I74:L74"/>
    <mergeCell ref="M74:O74"/>
    <mergeCell ref="P74:S74"/>
    <mergeCell ref="T74:U74"/>
    <mergeCell ref="V74:X74"/>
    <mergeCell ref="Y75:Z75"/>
    <mergeCell ref="AA75:AC75"/>
    <mergeCell ref="AD75:AE75"/>
    <mergeCell ref="AF75:AM75"/>
    <mergeCell ref="AN75:AO75"/>
    <mergeCell ref="B75:F75"/>
    <mergeCell ref="G75:H75"/>
    <mergeCell ref="I75:L75"/>
    <mergeCell ref="M75:O75"/>
    <mergeCell ref="P75:S75"/>
    <mergeCell ref="T75:U75"/>
    <mergeCell ref="V75:X75"/>
    <mergeCell ref="Y76:Z76"/>
    <mergeCell ref="AA76:AC76"/>
    <mergeCell ref="AD76:AE76"/>
    <mergeCell ref="AF76:AM76"/>
    <mergeCell ref="AN76:AO76"/>
    <mergeCell ref="B76:F76"/>
    <mergeCell ref="G76:H76"/>
    <mergeCell ref="I76:L76"/>
    <mergeCell ref="M76:O76"/>
    <mergeCell ref="P76:S76"/>
    <mergeCell ref="T76:U76"/>
    <mergeCell ref="V76:X76"/>
    <mergeCell ref="Y77:Z77"/>
    <mergeCell ref="AA77:AC77"/>
    <mergeCell ref="AD77:AE77"/>
    <mergeCell ref="AF77:AM77"/>
    <mergeCell ref="AN77:AO77"/>
    <mergeCell ref="B77:F77"/>
    <mergeCell ref="G77:H77"/>
    <mergeCell ref="I77:L77"/>
    <mergeCell ref="M77:O77"/>
    <mergeCell ref="P77:S77"/>
    <mergeCell ref="T77:U77"/>
    <mergeCell ref="V77:X77"/>
    <mergeCell ref="Y78:Z78"/>
    <mergeCell ref="AA78:AC78"/>
    <mergeCell ref="AD78:AE78"/>
    <mergeCell ref="AF78:AM78"/>
    <mergeCell ref="AN78:AO78"/>
    <mergeCell ref="B78:F78"/>
    <mergeCell ref="G78:H78"/>
    <mergeCell ref="I78:L78"/>
    <mergeCell ref="M78:O78"/>
    <mergeCell ref="P78:S78"/>
    <mergeCell ref="T78:U78"/>
    <mergeCell ref="V78:X78"/>
    <mergeCell ref="Y79:Z79"/>
    <mergeCell ref="AA79:AC79"/>
    <mergeCell ref="AD79:AE79"/>
    <mergeCell ref="AF79:AM79"/>
    <mergeCell ref="AN79:AO79"/>
    <mergeCell ref="B79:F79"/>
    <mergeCell ref="G79:H79"/>
    <mergeCell ref="I79:L79"/>
    <mergeCell ref="M79:O79"/>
    <mergeCell ref="P79:S79"/>
    <mergeCell ref="T79:U79"/>
    <mergeCell ref="V79:X79"/>
    <mergeCell ref="Y80:Z80"/>
    <mergeCell ref="AA80:AC80"/>
    <mergeCell ref="AD80:AE80"/>
    <mergeCell ref="AF80:AM80"/>
    <mergeCell ref="AN80:AO80"/>
    <mergeCell ref="B80:F80"/>
    <mergeCell ref="G80:H80"/>
    <mergeCell ref="I80:L80"/>
    <mergeCell ref="M80:O80"/>
    <mergeCell ref="P80:S80"/>
    <mergeCell ref="T80:U80"/>
    <mergeCell ref="V80:X80"/>
    <mergeCell ref="Y81:Z81"/>
    <mergeCell ref="AA81:AC81"/>
    <mergeCell ref="AD81:AE81"/>
    <mergeCell ref="AF81:AM81"/>
    <mergeCell ref="AN81:AO81"/>
    <mergeCell ref="B81:F81"/>
    <mergeCell ref="G81:H81"/>
    <mergeCell ref="I81:L81"/>
    <mergeCell ref="M81:O81"/>
    <mergeCell ref="P81:S81"/>
    <mergeCell ref="T81:U81"/>
    <mergeCell ref="V81:X81"/>
    <mergeCell ref="Y82:Z82"/>
    <mergeCell ref="AA82:AC82"/>
    <mergeCell ref="AD82:AE82"/>
    <mergeCell ref="AF82:AM82"/>
    <mergeCell ref="AN82:AO82"/>
    <mergeCell ref="B82:F82"/>
    <mergeCell ref="G82:H82"/>
    <mergeCell ref="I82:L82"/>
    <mergeCell ref="M82:O82"/>
    <mergeCell ref="P82:S82"/>
    <mergeCell ref="T82:U82"/>
    <mergeCell ref="V82:X82"/>
    <mergeCell ref="Y83:Z83"/>
    <mergeCell ref="AA83:AC83"/>
    <mergeCell ref="AD83:AE83"/>
    <mergeCell ref="AF83:AM83"/>
    <mergeCell ref="AN83:AO83"/>
    <mergeCell ref="B83:F83"/>
    <mergeCell ref="G83:H83"/>
    <mergeCell ref="I83:L83"/>
    <mergeCell ref="M83:O83"/>
    <mergeCell ref="P83:S83"/>
    <mergeCell ref="T83:U83"/>
    <mergeCell ref="V83:X83"/>
    <mergeCell ref="Y84:Z84"/>
    <mergeCell ref="AA84:AC84"/>
    <mergeCell ref="AD84:AE84"/>
    <mergeCell ref="AF84:AM84"/>
    <mergeCell ref="AN84:AO84"/>
    <mergeCell ref="B84:F84"/>
    <mergeCell ref="G84:H84"/>
    <mergeCell ref="I84:L84"/>
    <mergeCell ref="M84:O84"/>
    <mergeCell ref="P84:S84"/>
    <mergeCell ref="T84:U84"/>
    <mergeCell ref="V84:X84"/>
    <mergeCell ref="Y85:Z85"/>
    <mergeCell ref="AA85:AC85"/>
    <mergeCell ref="AD85:AE85"/>
    <mergeCell ref="AF85:AM85"/>
    <mergeCell ref="AN85:AO85"/>
    <mergeCell ref="B85:F85"/>
    <mergeCell ref="G85:H85"/>
    <mergeCell ref="I85:L85"/>
    <mergeCell ref="M85:O85"/>
    <mergeCell ref="P85:S85"/>
    <mergeCell ref="T85:U85"/>
    <mergeCell ref="V85:X85"/>
    <mergeCell ref="Y86:Z86"/>
    <mergeCell ref="AA86:AC86"/>
    <mergeCell ref="AD86:AE86"/>
    <mergeCell ref="AF86:AM86"/>
    <mergeCell ref="AN86:AO86"/>
    <mergeCell ref="B86:F86"/>
    <mergeCell ref="G86:H86"/>
    <mergeCell ref="I86:L86"/>
    <mergeCell ref="M86:O86"/>
    <mergeCell ref="P86:S86"/>
    <mergeCell ref="T86:U86"/>
    <mergeCell ref="V86:X86"/>
    <mergeCell ref="Y87:Z87"/>
    <mergeCell ref="AA87:AC87"/>
    <mergeCell ref="AD87:AE87"/>
    <mergeCell ref="AF87:AM87"/>
    <mergeCell ref="AN87:AO87"/>
    <mergeCell ref="B87:F87"/>
    <mergeCell ref="G87:H87"/>
    <mergeCell ref="I87:L87"/>
    <mergeCell ref="M87:O87"/>
    <mergeCell ref="P87:S87"/>
    <mergeCell ref="T87:U87"/>
    <mergeCell ref="V87:X87"/>
    <mergeCell ref="Y88:Z88"/>
    <mergeCell ref="AA88:AC88"/>
    <mergeCell ref="AD88:AE88"/>
    <mergeCell ref="AF88:AM88"/>
    <mergeCell ref="AN88:AO88"/>
    <mergeCell ref="B88:F88"/>
    <mergeCell ref="G88:H88"/>
    <mergeCell ref="I88:L88"/>
    <mergeCell ref="M88:O88"/>
    <mergeCell ref="P88:S88"/>
    <mergeCell ref="T88:U88"/>
    <mergeCell ref="V88:X88"/>
    <mergeCell ref="Y89:Z89"/>
    <mergeCell ref="AA89:AC89"/>
    <mergeCell ref="AD89:AE89"/>
    <mergeCell ref="AF89:AM89"/>
    <mergeCell ref="AN89:AO89"/>
    <mergeCell ref="B89:F89"/>
    <mergeCell ref="G89:H89"/>
    <mergeCell ref="I89:L89"/>
    <mergeCell ref="M89:O89"/>
    <mergeCell ref="P89:S89"/>
    <mergeCell ref="T89:U89"/>
    <mergeCell ref="V89:X89"/>
    <mergeCell ref="Y90:Z90"/>
    <mergeCell ref="AA90:AC90"/>
    <mergeCell ref="AD90:AE90"/>
    <mergeCell ref="AF90:AM90"/>
    <mergeCell ref="AN90:AO90"/>
    <mergeCell ref="B90:F90"/>
    <mergeCell ref="G90:H90"/>
    <mergeCell ref="I90:L90"/>
    <mergeCell ref="M90:O90"/>
    <mergeCell ref="P90:S90"/>
    <mergeCell ref="T90:U90"/>
    <mergeCell ref="V90:X90"/>
    <mergeCell ref="Y91:Z91"/>
    <mergeCell ref="AA91:AC91"/>
    <mergeCell ref="AD91:AE91"/>
    <mergeCell ref="AF91:AM91"/>
    <mergeCell ref="AN91:AO91"/>
    <mergeCell ref="B91:F91"/>
    <mergeCell ref="G91:H91"/>
    <mergeCell ref="I91:L91"/>
    <mergeCell ref="M91:O91"/>
    <mergeCell ref="P91:S91"/>
    <mergeCell ref="T91:U91"/>
    <mergeCell ref="V91:X91"/>
    <mergeCell ref="Y92:Z92"/>
    <mergeCell ref="AA92:AC92"/>
    <mergeCell ref="AD92:AE92"/>
    <mergeCell ref="AF92:AM92"/>
    <mergeCell ref="AN92:AO92"/>
    <mergeCell ref="B92:F92"/>
    <mergeCell ref="G92:H92"/>
    <mergeCell ref="I92:L92"/>
    <mergeCell ref="M92:O92"/>
    <mergeCell ref="P92:S92"/>
    <mergeCell ref="T92:U92"/>
    <mergeCell ref="V92:X92"/>
    <mergeCell ref="Y93:Z93"/>
    <mergeCell ref="AA93:AC93"/>
    <mergeCell ref="AD93:AE93"/>
    <mergeCell ref="AF93:AM93"/>
    <mergeCell ref="AN93:AO93"/>
    <mergeCell ref="B93:F93"/>
    <mergeCell ref="G93:H93"/>
    <mergeCell ref="I93:L93"/>
    <mergeCell ref="M93:O93"/>
    <mergeCell ref="P93:S93"/>
    <mergeCell ref="T93:U93"/>
    <mergeCell ref="V93:X93"/>
    <mergeCell ref="Y94:Z94"/>
    <mergeCell ref="AA94:AC94"/>
    <mergeCell ref="AD94:AE94"/>
    <mergeCell ref="AF94:AM94"/>
    <mergeCell ref="AN94:AO94"/>
    <mergeCell ref="B94:F94"/>
    <mergeCell ref="G94:H94"/>
    <mergeCell ref="I94:L94"/>
    <mergeCell ref="M94:O94"/>
    <mergeCell ref="P94:S94"/>
    <mergeCell ref="T94:U94"/>
    <mergeCell ref="V94:X94"/>
    <mergeCell ref="Y95:Z95"/>
    <mergeCell ref="AA95:AC95"/>
    <mergeCell ref="AD95:AE95"/>
    <mergeCell ref="AF95:AM95"/>
    <mergeCell ref="AN95:AO95"/>
    <mergeCell ref="B95:F95"/>
    <mergeCell ref="G95:H95"/>
    <mergeCell ref="I95:L95"/>
    <mergeCell ref="M95:O95"/>
    <mergeCell ref="P95:S95"/>
    <mergeCell ref="T95:U95"/>
    <mergeCell ref="V95:X95"/>
    <mergeCell ref="Y96:Z96"/>
    <mergeCell ref="AA96:AC96"/>
    <mergeCell ref="AD96:AE96"/>
    <mergeCell ref="AF96:AM96"/>
    <mergeCell ref="AN96:AO96"/>
    <mergeCell ref="B96:F96"/>
    <mergeCell ref="G96:H96"/>
    <mergeCell ref="I96:L96"/>
    <mergeCell ref="M96:O96"/>
    <mergeCell ref="P96:S96"/>
    <mergeCell ref="T96:U96"/>
    <mergeCell ref="V96:X96"/>
    <mergeCell ref="Y97:Z97"/>
    <mergeCell ref="AA97:AC97"/>
    <mergeCell ref="AD97:AE97"/>
    <mergeCell ref="AF97:AM97"/>
    <mergeCell ref="AN97:AO97"/>
    <mergeCell ref="B97:F97"/>
    <mergeCell ref="G97:H97"/>
    <mergeCell ref="I97:L97"/>
    <mergeCell ref="M97:O97"/>
    <mergeCell ref="P97:S97"/>
    <mergeCell ref="T97:U97"/>
    <mergeCell ref="V97:X97"/>
    <mergeCell ref="Y98:Z98"/>
    <mergeCell ref="AA98:AC98"/>
    <mergeCell ref="AD98:AE98"/>
    <mergeCell ref="AF98:AM98"/>
    <mergeCell ref="AN98:AO98"/>
    <mergeCell ref="B98:F98"/>
    <mergeCell ref="G98:H98"/>
    <mergeCell ref="I98:L98"/>
    <mergeCell ref="M98:O98"/>
    <mergeCell ref="P98:S98"/>
    <mergeCell ref="T98:U98"/>
    <mergeCell ref="V98:X98"/>
    <mergeCell ref="Y99:Z99"/>
    <mergeCell ref="AA99:AC99"/>
    <mergeCell ref="AD99:AE99"/>
    <mergeCell ref="AF99:AM99"/>
    <mergeCell ref="AN99:AO99"/>
    <mergeCell ref="B99:F99"/>
    <mergeCell ref="G99:H99"/>
    <mergeCell ref="I99:L99"/>
    <mergeCell ref="M99:O99"/>
    <mergeCell ref="P99:S99"/>
    <mergeCell ref="T99:U99"/>
    <mergeCell ref="V99:X99"/>
    <mergeCell ref="Y100:Z100"/>
    <mergeCell ref="AA100:AC100"/>
    <mergeCell ref="AD100:AE100"/>
    <mergeCell ref="AF100:AM100"/>
    <mergeCell ref="AN100:AO100"/>
    <mergeCell ref="B100:F100"/>
    <mergeCell ref="G100:H100"/>
    <mergeCell ref="I100:L100"/>
    <mergeCell ref="M100:O100"/>
    <mergeCell ref="P100:S100"/>
    <mergeCell ref="T100:U100"/>
    <mergeCell ref="V100:X100"/>
    <mergeCell ref="Y101:Z101"/>
    <mergeCell ref="AA101:AC101"/>
    <mergeCell ref="AD101:AE101"/>
    <mergeCell ref="AF101:AM101"/>
    <mergeCell ref="AN101:AO101"/>
    <mergeCell ref="B101:F101"/>
    <mergeCell ref="G101:H101"/>
    <mergeCell ref="I101:L101"/>
    <mergeCell ref="M101:O101"/>
    <mergeCell ref="P101:S101"/>
    <mergeCell ref="T101:U101"/>
    <mergeCell ref="V101:X101"/>
    <mergeCell ref="Y102:Z102"/>
    <mergeCell ref="AA102:AC102"/>
    <mergeCell ref="AD102:AE102"/>
    <mergeCell ref="AF102:AM102"/>
    <mergeCell ref="AN102:AO102"/>
    <mergeCell ref="B102:F102"/>
    <mergeCell ref="G102:H102"/>
    <mergeCell ref="I102:L102"/>
    <mergeCell ref="M102:O102"/>
    <mergeCell ref="P102:S102"/>
    <mergeCell ref="T102:U102"/>
    <mergeCell ref="V102:X102"/>
    <mergeCell ref="Y103:Z103"/>
    <mergeCell ref="AA103:AC103"/>
    <mergeCell ref="AD103:AE103"/>
    <mergeCell ref="AF103:AM103"/>
    <mergeCell ref="AN103:AO103"/>
    <mergeCell ref="B103:F103"/>
    <mergeCell ref="G103:H103"/>
    <mergeCell ref="I103:L103"/>
    <mergeCell ref="M103:O103"/>
    <mergeCell ref="P103:S103"/>
    <mergeCell ref="T103:U103"/>
    <mergeCell ref="V103:X103"/>
    <mergeCell ref="Y104:Z104"/>
    <mergeCell ref="AA104:AC104"/>
    <mergeCell ref="AD104:AE104"/>
    <mergeCell ref="AF104:AM104"/>
    <mergeCell ref="AN104:AO104"/>
    <mergeCell ref="B104:F104"/>
    <mergeCell ref="G104:H104"/>
    <mergeCell ref="I104:L104"/>
    <mergeCell ref="M104:O104"/>
    <mergeCell ref="P104:S104"/>
    <mergeCell ref="T104:U104"/>
    <mergeCell ref="V104:X104"/>
    <mergeCell ref="Y105:Z105"/>
    <mergeCell ref="AA105:AC105"/>
    <mergeCell ref="AD105:AE105"/>
    <mergeCell ref="AF105:AM105"/>
    <mergeCell ref="AN105:AO105"/>
    <mergeCell ref="B105:F105"/>
    <mergeCell ref="G105:H105"/>
    <mergeCell ref="I105:L105"/>
    <mergeCell ref="M105:O105"/>
    <mergeCell ref="P105:S105"/>
    <mergeCell ref="T105:U105"/>
    <mergeCell ref="V105:X105"/>
    <mergeCell ref="Y155:Z155"/>
    <mergeCell ref="AA155:AC155"/>
    <mergeCell ref="AD155:AE155"/>
    <mergeCell ref="AF155:AM155"/>
    <mergeCell ref="AN155:AO155"/>
    <mergeCell ref="B155:F155"/>
    <mergeCell ref="G155:H155"/>
    <mergeCell ref="I155:L155"/>
    <mergeCell ref="M155:O155"/>
    <mergeCell ref="P155:S155"/>
    <mergeCell ref="T155:U155"/>
    <mergeCell ref="V155:X155"/>
    <mergeCell ref="Y156:Z156"/>
    <mergeCell ref="AA156:AC156"/>
    <mergeCell ref="AD156:AE156"/>
    <mergeCell ref="AF156:AM156"/>
    <mergeCell ref="AN156:AO156"/>
    <mergeCell ref="B156:F156"/>
    <mergeCell ref="G156:H156"/>
    <mergeCell ref="I156:L156"/>
    <mergeCell ref="M156:O156"/>
    <mergeCell ref="P156:S156"/>
    <mergeCell ref="T156:U156"/>
    <mergeCell ref="V156:X156"/>
    <mergeCell ref="Y157:Z157"/>
    <mergeCell ref="AA157:AC157"/>
    <mergeCell ref="AD157:AE157"/>
    <mergeCell ref="AF157:AM157"/>
    <mergeCell ref="AN157:AO157"/>
    <mergeCell ref="B157:F157"/>
    <mergeCell ref="G157:H157"/>
    <mergeCell ref="I157:L157"/>
    <mergeCell ref="M157:O157"/>
    <mergeCell ref="P157:S157"/>
    <mergeCell ref="T157:U157"/>
    <mergeCell ref="V157:X157"/>
    <mergeCell ref="Y158:Z158"/>
    <mergeCell ref="AA158:AC158"/>
    <mergeCell ref="AD158:AE158"/>
    <mergeCell ref="AF158:AM158"/>
    <mergeCell ref="AN158:AO158"/>
    <mergeCell ref="B158:F158"/>
    <mergeCell ref="G158:H158"/>
    <mergeCell ref="I158:L158"/>
    <mergeCell ref="M158:O158"/>
    <mergeCell ref="P158:S158"/>
    <mergeCell ref="T158:U158"/>
    <mergeCell ref="V158:X158"/>
    <mergeCell ref="Y159:Z159"/>
    <mergeCell ref="AA159:AC159"/>
    <mergeCell ref="AD159:AE159"/>
    <mergeCell ref="AF159:AM159"/>
    <mergeCell ref="AN159:AO159"/>
    <mergeCell ref="B159:F159"/>
    <mergeCell ref="G159:H159"/>
    <mergeCell ref="I159:L159"/>
    <mergeCell ref="M159:O159"/>
    <mergeCell ref="P159:S159"/>
    <mergeCell ref="T159:U159"/>
    <mergeCell ref="V159:X159"/>
    <mergeCell ref="Y160:Z160"/>
    <mergeCell ref="AA160:AC160"/>
    <mergeCell ref="AD160:AE160"/>
    <mergeCell ref="AF160:AM160"/>
    <mergeCell ref="AN160:AO160"/>
    <mergeCell ref="B160:F160"/>
    <mergeCell ref="G160:H160"/>
    <mergeCell ref="I160:L160"/>
    <mergeCell ref="M160:O160"/>
    <mergeCell ref="P160:S160"/>
    <mergeCell ref="T160:U160"/>
    <mergeCell ref="V160:X160"/>
    <mergeCell ref="Y161:Z161"/>
    <mergeCell ref="AA161:AC161"/>
    <mergeCell ref="AD161:AE161"/>
    <mergeCell ref="AF161:AM161"/>
    <mergeCell ref="AN161:AO161"/>
    <mergeCell ref="B161:F161"/>
    <mergeCell ref="G161:H161"/>
    <mergeCell ref="I161:L161"/>
    <mergeCell ref="M161:O161"/>
    <mergeCell ref="P161:S161"/>
    <mergeCell ref="T161:U161"/>
    <mergeCell ref="V161:X161"/>
    <mergeCell ref="Y162:Z162"/>
    <mergeCell ref="AA162:AC162"/>
    <mergeCell ref="AD162:AE162"/>
    <mergeCell ref="AF162:AM162"/>
    <mergeCell ref="AN162:AO162"/>
    <mergeCell ref="B162:F162"/>
    <mergeCell ref="G162:H162"/>
    <mergeCell ref="I162:L162"/>
    <mergeCell ref="M162:O162"/>
    <mergeCell ref="P162:S162"/>
    <mergeCell ref="T162:U162"/>
    <mergeCell ref="V162:X162"/>
    <mergeCell ref="Y163:Z163"/>
    <mergeCell ref="AA163:AC163"/>
    <mergeCell ref="AD163:AE163"/>
    <mergeCell ref="AF163:AM163"/>
    <mergeCell ref="AN163:AO163"/>
    <mergeCell ref="B163:F163"/>
    <mergeCell ref="G163:H163"/>
    <mergeCell ref="I163:L163"/>
    <mergeCell ref="M163:O163"/>
    <mergeCell ref="P163:S163"/>
    <mergeCell ref="T163:U163"/>
    <mergeCell ref="V163:X163"/>
    <mergeCell ref="Y164:Z164"/>
    <mergeCell ref="AA164:AC164"/>
    <mergeCell ref="AD164:AE164"/>
    <mergeCell ref="AF164:AM164"/>
    <mergeCell ref="AN164:AO164"/>
    <mergeCell ref="B164:F164"/>
    <mergeCell ref="G164:H164"/>
    <mergeCell ref="I164:L164"/>
    <mergeCell ref="M164:O164"/>
    <mergeCell ref="P164:S164"/>
    <mergeCell ref="T164:U164"/>
    <mergeCell ref="V164:X164"/>
    <mergeCell ref="Y165:Z165"/>
    <mergeCell ref="AA165:AC165"/>
    <mergeCell ref="AD165:AE165"/>
    <mergeCell ref="AF165:AM165"/>
    <mergeCell ref="AN165:AO165"/>
    <mergeCell ref="B165:F165"/>
    <mergeCell ref="G165:H165"/>
    <mergeCell ref="I165:L165"/>
    <mergeCell ref="M165:O165"/>
    <mergeCell ref="P165:S165"/>
    <mergeCell ref="T165:U165"/>
    <mergeCell ref="V165:X165"/>
    <mergeCell ref="Y166:Z166"/>
    <mergeCell ref="AA166:AC166"/>
    <mergeCell ref="AD166:AE166"/>
    <mergeCell ref="AF166:AM166"/>
    <mergeCell ref="AN166:AO166"/>
    <mergeCell ref="B166:F166"/>
    <mergeCell ref="G166:H166"/>
    <mergeCell ref="I166:L166"/>
    <mergeCell ref="M166:O166"/>
    <mergeCell ref="P166:S166"/>
    <mergeCell ref="T166:U166"/>
    <mergeCell ref="V166:X166"/>
    <mergeCell ref="Y167:Z167"/>
    <mergeCell ref="AA167:AC167"/>
    <mergeCell ref="AD167:AE167"/>
    <mergeCell ref="AF167:AM167"/>
    <mergeCell ref="AN167:AO167"/>
    <mergeCell ref="B167:F167"/>
    <mergeCell ref="G167:H167"/>
    <mergeCell ref="I167:L167"/>
    <mergeCell ref="M167:O167"/>
    <mergeCell ref="P167:S167"/>
    <mergeCell ref="T167:U167"/>
    <mergeCell ref="V167:X167"/>
    <mergeCell ref="Y168:Z168"/>
    <mergeCell ref="AA168:AC168"/>
    <mergeCell ref="AD168:AE168"/>
    <mergeCell ref="AF168:AM168"/>
    <mergeCell ref="AN168:AO168"/>
    <mergeCell ref="B168:F168"/>
    <mergeCell ref="G168:H168"/>
    <mergeCell ref="I168:L168"/>
    <mergeCell ref="M168:O168"/>
    <mergeCell ref="P168:S168"/>
    <mergeCell ref="T168:U168"/>
    <mergeCell ref="V168:X168"/>
    <mergeCell ref="Y169:Z169"/>
    <mergeCell ref="AA169:AC169"/>
    <mergeCell ref="AD169:AE169"/>
    <mergeCell ref="AF169:AM169"/>
    <mergeCell ref="AN169:AO169"/>
    <mergeCell ref="B169:F169"/>
    <mergeCell ref="G169:H169"/>
    <mergeCell ref="I169:L169"/>
    <mergeCell ref="M169:O169"/>
    <mergeCell ref="P169:S169"/>
    <mergeCell ref="T169:U169"/>
    <mergeCell ref="V169:X169"/>
    <mergeCell ref="Y170:Z170"/>
    <mergeCell ref="AA170:AC170"/>
    <mergeCell ref="AD170:AE170"/>
    <mergeCell ref="AF170:AM170"/>
    <mergeCell ref="AN170:AO170"/>
    <mergeCell ref="B170:F170"/>
    <mergeCell ref="G170:H170"/>
    <mergeCell ref="I170:L170"/>
    <mergeCell ref="M170:O170"/>
    <mergeCell ref="P170:S170"/>
    <mergeCell ref="T170:U170"/>
    <mergeCell ref="V170:X170"/>
    <mergeCell ref="Y171:Z171"/>
    <mergeCell ref="AA171:AC171"/>
    <mergeCell ref="AD171:AE171"/>
    <mergeCell ref="AF171:AM171"/>
    <mergeCell ref="AN171:AO171"/>
    <mergeCell ref="B171:F171"/>
    <mergeCell ref="G171:H171"/>
    <mergeCell ref="I171:L171"/>
    <mergeCell ref="M171:O171"/>
    <mergeCell ref="P171:S171"/>
    <mergeCell ref="T171:U171"/>
    <mergeCell ref="V171:X171"/>
    <mergeCell ref="Y172:Z172"/>
    <mergeCell ref="AA172:AC172"/>
    <mergeCell ref="AD172:AE172"/>
    <mergeCell ref="AF172:AM172"/>
    <mergeCell ref="AN172:AO172"/>
    <mergeCell ref="B172:F172"/>
    <mergeCell ref="G172:H172"/>
    <mergeCell ref="I172:L172"/>
    <mergeCell ref="M172:O172"/>
    <mergeCell ref="P172:S172"/>
    <mergeCell ref="T172:U172"/>
    <mergeCell ref="V172:X172"/>
    <mergeCell ref="Y173:Z173"/>
    <mergeCell ref="AA173:AC173"/>
    <mergeCell ref="AD173:AE173"/>
    <mergeCell ref="AF173:AM173"/>
    <mergeCell ref="AN173:AO173"/>
    <mergeCell ref="B173:F173"/>
    <mergeCell ref="G173:H173"/>
    <mergeCell ref="I173:L173"/>
    <mergeCell ref="M173:O173"/>
    <mergeCell ref="P173:S173"/>
    <mergeCell ref="T173:U173"/>
    <mergeCell ref="V173:X173"/>
    <mergeCell ref="Y174:Z174"/>
    <mergeCell ref="AA174:AC174"/>
    <mergeCell ref="AD174:AE174"/>
    <mergeCell ref="AF174:AM174"/>
    <mergeCell ref="AN174:AO174"/>
    <mergeCell ref="B174:F174"/>
    <mergeCell ref="G174:H174"/>
    <mergeCell ref="I174:L174"/>
    <mergeCell ref="M174:O174"/>
    <mergeCell ref="P174:S174"/>
    <mergeCell ref="T174:U174"/>
    <mergeCell ref="V174:X174"/>
    <mergeCell ref="Y175:Z175"/>
    <mergeCell ref="AA175:AC175"/>
    <mergeCell ref="AD175:AE175"/>
    <mergeCell ref="AF175:AM175"/>
    <mergeCell ref="AN175:AO175"/>
    <mergeCell ref="B175:F175"/>
    <mergeCell ref="G175:H175"/>
    <mergeCell ref="I175:L175"/>
    <mergeCell ref="M175:O175"/>
    <mergeCell ref="P175:S175"/>
    <mergeCell ref="T175:U175"/>
    <mergeCell ref="V175:X175"/>
    <mergeCell ref="Y176:Z176"/>
    <mergeCell ref="AA176:AC176"/>
    <mergeCell ref="AD176:AE176"/>
    <mergeCell ref="AF176:AM176"/>
    <mergeCell ref="AN176:AO176"/>
    <mergeCell ref="B176:F176"/>
    <mergeCell ref="G176:H176"/>
    <mergeCell ref="I176:L176"/>
    <mergeCell ref="M176:O176"/>
    <mergeCell ref="P176:S176"/>
    <mergeCell ref="T176:U176"/>
    <mergeCell ref="V176:X176"/>
    <mergeCell ref="Y177:Z177"/>
    <mergeCell ref="AA177:AC177"/>
    <mergeCell ref="AD177:AE177"/>
    <mergeCell ref="AF177:AM177"/>
    <mergeCell ref="AN177:AO177"/>
    <mergeCell ref="B177:F177"/>
    <mergeCell ref="G177:H177"/>
    <mergeCell ref="I177:L177"/>
    <mergeCell ref="M177:O177"/>
    <mergeCell ref="P177:S177"/>
    <mergeCell ref="T177:U177"/>
    <mergeCell ref="V177:X177"/>
    <mergeCell ref="Y178:Z178"/>
    <mergeCell ref="AA178:AC178"/>
    <mergeCell ref="AD178:AE178"/>
    <mergeCell ref="AF178:AM178"/>
    <mergeCell ref="AN178:AO178"/>
    <mergeCell ref="B178:F178"/>
    <mergeCell ref="G178:H178"/>
    <mergeCell ref="I178:L178"/>
    <mergeCell ref="M178:O178"/>
    <mergeCell ref="P178:S178"/>
    <mergeCell ref="T178:U178"/>
    <mergeCell ref="V178:X178"/>
    <mergeCell ref="Y179:Z179"/>
    <mergeCell ref="AA179:AC179"/>
    <mergeCell ref="AD179:AE179"/>
    <mergeCell ref="AF179:AM179"/>
    <mergeCell ref="AN179:AO179"/>
    <mergeCell ref="B179:F179"/>
    <mergeCell ref="G179:H179"/>
    <mergeCell ref="I179:L179"/>
    <mergeCell ref="M179:O179"/>
    <mergeCell ref="P179:S179"/>
    <mergeCell ref="T179:U179"/>
    <mergeCell ref="V179:X179"/>
    <mergeCell ref="Y180:Z180"/>
    <mergeCell ref="AA180:AC180"/>
    <mergeCell ref="AD180:AE180"/>
    <mergeCell ref="AF180:AM180"/>
    <mergeCell ref="AN180:AO180"/>
    <mergeCell ref="B180:F180"/>
    <mergeCell ref="G180:H180"/>
    <mergeCell ref="I180:L180"/>
    <mergeCell ref="M180:O180"/>
    <mergeCell ref="P180:S180"/>
    <mergeCell ref="T180:U180"/>
    <mergeCell ref="V180:X180"/>
    <mergeCell ref="Y181:Z181"/>
    <mergeCell ref="AA181:AC181"/>
    <mergeCell ref="AD181:AE181"/>
    <mergeCell ref="AF181:AM181"/>
    <mergeCell ref="AN181:AO181"/>
    <mergeCell ref="B181:F181"/>
    <mergeCell ref="G181:H181"/>
    <mergeCell ref="I181:L181"/>
    <mergeCell ref="M181:O181"/>
    <mergeCell ref="P181:S181"/>
    <mergeCell ref="T181:U181"/>
    <mergeCell ref="V181:X181"/>
    <mergeCell ref="Y182:Z182"/>
    <mergeCell ref="AA182:AC182"/>
    <mergeCell ref="AD182:AE182"/>
    <mergeCell ref="AF182:AM182"/>
    <mergeCell ref="AN182:AO182"/>
    <mergeCell ref="B182:F182"/>
    <mergeCell ref="G182:H182"/>
    <mergeCell ref="I182:L182"/>
    <mergeCell ref="M182:O182"/>
    <mergeCell ref="P182:S182"/>
    <mergeCell ref="T182:U182"/>
    <mergeCell ref="V182:X182"/>
    <mergeCell ref="Y183:Z183"/>
    <mergeCell ref="AA183:AC183"/>
    <mergeCell ref="AD183:AE183"/>
    <mergeCell ref="AF183:AM183"/>
    <mergeCell ref="AN183:AO183"/>
    <mergeCell ref="B183:F183"/>
    <mergeCell ref="G183:H183"/>
    <mergeCell ref="I183:L183"/>
    <mergeCell ref="M183:O183"/>
    <mergeCell ref="P183:S183"/>
    <mergeCell ref="T183:U183"/>
    <mergeCell ref="V183:X183"/>
    <mergeCell ref="Y184:Z184"/>
    <mergeCell ref="AA184:AC184"/>
    <mergeCell ref="AD184:AE184"/>
    <mergeCell ref="AF184:AM184"/>
    <mergeCell ref="AN184:AO184"/>
    <mergeCell ref="B184:F184"/>
    <mergeCell ref="G184:H184"/>
    <mergeCell ref="I184:L184"/>
    <mergeCell ref="M184:O184"/>
    <mergeCell ref="P184:S184"/>
    <mergeCell ref="T184:U184"/>
    <mergeCell ref="V184:X184"/>
    <mergeCell ref="Y185:Z185"/>
    <mergeCell ref="AA185:AC185"/>
    <mergeCell ref="AD185:AE185"/>
    <mergeCell ref="AF185:AM185"/>
    <mergeCell ref="AN185:AO185"/>
    <mergeCell ref="B185:F185"/>
    <mergeCell ref="G185:H185"/>
    <mergeCell ref="I185:L185"/>
    <mergeCell ref="M185:O185"/>
    <mergeCell ref="P185:S185"/>
    <mergeCell ref="T185:U185"/>
    <mergeCell ref="V185:X185"/>
    <mergeCell ref="Y186:Z186"/>
    <mergeCell ref="AA186:AC186"/>
    <mergeCell ref="AD186:AE186"/>
    <mergeCell ref="AF186:AM186"/>
    <mergeCell ref="AN186:AO186"/>
    <mergeCell ref="B186:F186"/>
    <mergeCell ref="G186:H186"/>
    <mergeCell ref="I186:L186"/>
    <mergeCell ref="M186:O186"/>
    <mergeCell ref="P186:S186"/>
    <mergeCell ref="T186:U186"/>
    <mergeCell ref="V186:X186"/>
    <mergeCell ref="Y187:Z187"/>
    <mergeCell ref="AA187:AC187"/>
    <mergeCell ref="AD187:AE187"/>
    <mergeCell ref="AF187:AM187"/>
    <mergeCell ref="AN187:AO187"/>
    <mergeCell ref="B187:F187"/>
    <mergeCell ref="G187:H187"/>
    <mergeCell ref="I187:L187"/>
    <mergeCell ref="M187:O187"/>
    <mergeCell ref="P187:S187"/>
    <mergeCell ref="T187:U187"/>
    <mergeCell ref="V187:X187"/>
    <mergeCell ref="Y188:Z188"/>
    <mergeCell ref="AA188:AC188"/>
    <mergeCell ref="AD188:AE188"/>
    <mergeCell ref="AF188:AM188"/>
    <mergeCell ref="AN188:AO188"/>
    <mergeCell ref="B188:F188"/>
    <mergeCell ref="G188:H188"/>
    <mergeCell ref="I188:L188"/>
    <mergeCell ref="M188:O188"/>
    <mergeCell ref="P188:S188"/>
    <mergeCell ref="T188:U188"/>
    <mergeCell ref="V188:X188"/>
    <mergeCell ref="Y189:Z189"/>
    <mergeCell ref="AA189:AC189"/>
    <mergeCell ref="AD189:AE189"/>
    <mergeCell ref="AF189:AM189"/>
    <mergeCell ref="AN189:AO189"/>
    <mergeCell ref="B189:F189"/>
    <mergeCell ref="G189:H189"/>
    <mergeCell ref="I189:L189"/>
    <mergeCell ref="M189:O189"/>
    <mergeCell ref="P189:S189"/>
    <mergeCell ref="T189:U189"/>
    <mergeCell ref="V189:X189"/>
    <mergeCell ref="Y197:Z197"/>
    <mergeCell ref="AA197:AC197"/>
    <mergeCell ref="AD197:AE197"/>
    <mergeCell ref="AF197:AM197"/>
    <mergeCell ref="AN197:AO197"/>
    <mergeCell ref="B197:F197"/>
    <mergeCell ref="G197:H197"/>
    <mergeCell ref="I197:L197"/>
    <mergeCell ref="M197:O197"/>
    <mergeCell ref="P197:S197"/>
    <mergeCell ref="T197:U197"/>
    <mergeCell ref="V197:X197"/>
    <mergeCell ref="Y198:Z198"/>
    <mergeCell ref="AA198:AC198"/>
    <mergeCell ref="AD198:AE198"/>
    <mergeCell ref="AF198:AM198"/>
    <mergeCell ref="AN198:AO198"/>
    <mergeCell ref="B198:F198"/>
    <mergeCell ref="G198:H198"/>
    <mergeCell ref="I198:L198"/>
    <mergeCell ref="M198:O198"/>
    <mergeCell ref="P198:S198"/>
    <mergeCell ref="T198:U198"/>
    <mergeCell ref="V198:X198"/>
    <mergeCell ref="Y199:Z199"/>
    <mergeCell ref="AA199:AC199"/>
    <mergeCell ref="AD199:AE199"/>
    <mergeCell ref="AF199:AM199"/>
    <mergeCell ref="AN199:AO199"/>
    <mergeCell ref="B199:F199"/>
    <mergeCell ref="G199:H199"/>
    <mergeCell ref="I199:L199"/>
    <mergeCell ref="M199:O199"/>
    <mergeCell ref="P199:S199"/>
    <mergeCell ref="T199:U199"/>
    <mergeCell ref="V199:X199"/>
    <mergeCell ref="Y200:Z200"/>
    <mergeCell ref="AA200:AC200"/>
    <mergeCell ref="AD200:AE200"/>
    <mergeCell ref="AF200:AM200"/>
    <mergeCell ref="AN200:AO200"/>
    <mergeCell ref="B200:F200"/>
    <mergeCell ref="G200:H200"/>
    <mergeCell ref="I200:L200"/>
    <mergeCell ref="M200:O200"/>
    <mergeCell ref="P200:S200"/>
    <mergeCell ref="T200:U200"/>
    <mergeCell ref="V200:X200"/>
    <mergeCell ref="P2:AA3"/>
    <mergeCell ref="P4:AA4"/>
    <mergeCell ref="O1:O4"/>
    <mergeCell ref="P1:AA1"/>
    <mergeCell ref="AB1:AB4"/>
    <mergeCell ref="B2:N2"/>
    <mergeCell ref="AC2:AO2"/>
    <mergeCell ref="B3:N4"/>
    <mergeCell ref="AC3:AO4"/>
    <mergeCell ref="Y5:Z6"/>
    <mergeCell ref="AA5:AC6"/>
    <mergeCell ref="AD5:AE6"/>
    <mergeCell ref="AF5:AM6"/>
    <mergeCell ref="AN5:AO6"/>
    <mergeCell ref="B5:F6"/>
    <mergeCell ref="G5:H6"/>
    <mergeCell ref="I5:L6"/>
    <mergeCell ref="M5:O6"/>
    <mergeCell ref="P5:S6"/>
    <mergeCell ref="T5:U6"/>
    <mergeCell ref="V5:X6"/>
    <mergeCell ref="Y7:Z7"/>
    <mergeCell ref="AA7:AC7"/>
    <mergeCell ref="AD7:AE7"/>
    <mergeCell ref="AF7:AM7"/>
    <mergeCell ref="AN7:AO7"/>
    <mergeCell ref="B7:F7"/>
    <mergeCell ref="G7:H7"/>
    <mergeCell ref="I7:L7"/>
    <mergeCell ref="M7:O7"/>
    <mergeCell ref="P7:S7"/>
    <mergeCell ref="T7:U7"/>
    <mergeCell ref="V7:X7"/>
    <mergeCell ref="Y201:Z201"/>
    <mergeCell ref="AA201:AC201"/>
    <mergeCell ref="AD201:AE201"/>
    <mergeCell ref="AF201:AM201"/>
    <mergeCell ref="AN201:AO201"/>
    <mergeCell ref="B201:F201"/>
    <mergeCell ref="G201:H201"/>
    <mergeCell ref="I201:L201"/>
    <mergeCell ref="M201:O201"/>
    <mergeCell ref="P201:S201"/>
    <mergeCell ref="T201:U201"/>
    <mergeCell ref="V201:X201"/>
    <mergeCell ref="Y190:Z190"/>
    <mergeCell ref="AA190:AC190"/>
    <mergeCell ref="AD190:AE190"/>
    <mergeCell ref="AF190:AM190"/>
    <mergeCell ref="AN190:AO190"/>
    <mergeCell ref="B190:F190"/>
    <mergeCell ref="G190:H190"/>
    <mergeCell ref="I190:L190"/>
    <mergeCell ref="M190:O190"/>
    <mergeCell ref="P190:S190"/>
    <mergeCell ref="T190:U190"/>
    <mergeCell ref="V190:X190"/>
    <mergeCell ref="Y191:Z191"/>
    <mergeCell ref="AA191:AC191"/>
    <mergeCell ref="AD191:AE191"/>
    <mergeCell ref="AF191:AM191"/>
    <mergeCell ref="AN191:AO191"/>
    <mergeCell ref="B191:F191"/>
    <mergeCell ref="G191:H191"/>
    <mergeCell ref="I191:L191"/>
    <mergeCell ref="M191:O191"/>
    <mergeCell ref="P191:S191"/>
    <mergeCell ref="T191:U191"/>
    <mergeCell ref="V191:X191"/>
    <mergeCell ref="Y192:Z192"/>
    <mergeCell ref="AA192:AC192"/>
    <mergeCell ref="AD192:AE192"/>
    <mergeCell ref="AF192:AM192"/>
    <mergeCell ref="AN192:AO192"/>
    <mergeCell ref="B192:F192"/>
    <mergeCell ref="G192:H192"/>
    <mergeCell ref="I192:L192"/>
    <mergeCell ref="M192:O192"/>
    <mergeCell ref="P192:S192"/>
    <mergeCell ref="T192:U192"/>
    <mergeCell ref="V192:X192"/>
    <mergeCell ref="Y193:Z193"/>
    <mergeCell ref="AA193:AC193"/>
    <mergeCell ref="AD193:AE193"/>
    <mergeCell ref="AF193:AM193"/>
    <mergeCell ref="AN193:AO193"/>
    <mergeCell ref="B193:F193"/>
    <mergeCell ref="G193:H193"/>
    <mergeCell ref="I193:L193"/>
    <mergeCell ref="M193:O193"/>
    <mergeCell ref="P193:S193"/>
    <mergeCell ref="T193:U193"/>
    <mergeCell ref="V193:X193"/>
    <mergeCell ref="Y194:Z194"/>
    <mergeCell ref="AA194:AC194"/>
    <mergeCell ref="AD194:AE194"/>
    <mergeCell ref="AF194:AM194"/>
    <mergeCell ref="AN194:AO194"/>
    <mergeCell ref="B194:F194"/>
    <mergeCell ref="G194:H194"/>
    <mergeCell ref="I194:L194"/>
    <mergeCell ref="M194:O194"/>
    <mergeCell ref="P194:S194"/>
    <mergeCell ref="T194:U194"/>
    <mergeCell ref="V194:X194"/>
    <mergeCell ref="Y195:Z195"/>
    <mergeCell ref="AA195:AC195"/>
    <mergeCell ref="AD195:AE195"/>
    <mergeCell ref="AF195:AM195"/>
    <mergeCell ref="AN195:AO195"/>
    <mergeCell ref="B195:F195"/>
    <mergeCell ref="G195:H195"/>
    <mergeCell ref="I195:L195"/>
    <mergeCell ref="M195:O195"/>
    <mergeCell ref="P195:S195"/>
    <mergeCell ref="T195:U195"/>
    <mergeCell ref="V195:X195"/>
    <mergeCell ref="Y196:Z196"/>
    <mergeCell ref="AA196:AC196"/>
    <mergeCell ref="AD196:AE196"/>
    <mergeCell ref="AF196:AM196"/>
    <mergeCell ref="AN196:AO196"/>
    <mergeCell ref="B196:F196"/>
    <mergeCell ref="G196:H196"/>
    <mergeCell ref="I196:L196"/>
    <mergeCell ref="M196:O196"/>
    <mergeCell ref="P196:S196"/>
    <mergeCell ref="T196:U196"/>
    <mergeCell ref="V196:X196"/>
    <mergeCell ref="Y106:Z106"/>
    <mergeCell ref="AA106:AC106"/>
    <mergeCell ref="AD106:AE106"/>
    <mergeCell ref="AF106:AM106"/>
    <mergeCell ref="AN106:AO106"/>
    <mergeCell ref="B106:F106"/>
    <mergeCell ref="G106:H106"/>
    <mergeCell ref="I106:L106"/>
    <mergeCell ref="M106:O106"/>
    <mergeCell ref="P106:S106"/>
    <mergeCell ref="T106:U106"/>
    <mergeCell ref="V106:X106"/>
    <mergeCell ref="Y107:Z107"/>
    <mergeCell ref="AA107:AC107"/>
    <mergeCell ref="AD107:AE107"/>
    <mergeCell ref="AF107:AM107"/>
    <mergeCell ref="AN107:AO107"/>
    <mergeCell ref="B107:F107"/>
    <mergeCell ref="G107:H107"/>
    <mergeCell ref="I107:L107"/>
    <mergeCell ref="M107:O107"/>
    <mergeCell ref="P107:S107"/>
    <mergeCell ref="T107:U107"/>
    <mergeCell ref="V107:X107"/>
    <mergeCell ref="Y108:Z108"/>
    <mergeCell ref="AA108:AC108"/>
    <mergeCell ref="AD108:AE108"/>
    <mergeCell ref="AF108:AM108"/>
    <mergeCell ref="AN108:AO108"/>
    <mergeCell ref="B108:F108"/>
    <mergeCell ref="G108:H108"/>
    <mergeCell ref="I108:L108"/>
    <mergeCell ref="M108:O108"/>
    <mergeCell ref="P108:S108"/>
    <mergeCell ref="T108:U108"/>
    <mergeCell ref="V108:X108"/>
    <mergeCell ref="Y109:Z109"/>
    <mergeCell ref="AA109:AC109"/>
    <mergeCell ref="AD109:AE109"/>
    <mergeCell ref="AF109:AM109"/>
    <mergeCell ref="AN109:AO109"/>
    <mergeCell ref="B109:F109"/>
    <mergeCell ref="G109:H109"/>
    <mergeCell ref="I109:L109"/>
    <mergeCell ref="M109:O109"/>
    <mergeCell ref="P109:S109"/>
    <mergeCell ref="T109:U109"/>
    <mergeCell ref="V109:X109"/>
    <mergeCell ref="Y110:Z110"/>
    <mergeCell ref="AA110:AC110"/>
    <mergeCell ref="AD110:AE110"/>
    <mergeCell ref="AF110:AM110"/>
    <mergeCell ref="AN110:AO110"/>
    <mergeCell ref="B110:F110"/>
    <mergeCell ref="G110:H110"/>
    <mergeCell ref="I110:L110"/>
    <mergeCell ref="M110:O110"/>
    <mergeCell ref="P110:S110"/>
    <mergeCell ref="T110:U110"/>
    <mergeCell ref="V110:X110"/>
    <mergeCell ref="Y111:Z111"/>
    <mergeCell ref="AA111:AC111"/>
    <mergeCell ref="AD111:AE111"/>
    <mergeCell ref="AF111:AM111"/>
    <mergeCell ref="AN111:AO111"/>
    <mergeCell ref="B111:F111"/>
    <mergeCell ref="G111:H111"/>
    <mergeCell ref="I111:L111"/>
    <mergeCell ref="M111:O111"/>
    <mergeCell ref="P111:S111"/>
    <mergeCell ref="T111:U111"/>
    <mergeCell ref="V111:X111"/>
    <mergeCell ref="Y112:Z112"/>
    <mergeCell ref="AA112:AC112"/>
    <mergeCell ref="AD112:AE112"/>
    <mergeCell ref="AF112:AM112"/>
    <mergeCell ref="AN112:AO112"/>
    <mergeCell ref="B112:F112"/>
    <mergeCell ref="G112:H112"/>
    <mergeCell ref="I112:L112"/>
    <mergeCell ref="M112:O112"/>
    <mergeCell ref="P112:S112"/>
    <mergeCell ref="T112:U112"/>
    <mergeCell ref="V112:X112"/>
    <mergeCell ref="Y113:Z113"/>
    <mergeCell ref="AA113:AC113"/>
    <mergeCell ref="AD113:AE113"/>
    <mergeCell ref="AF113:AM113"/>
    <mergeCell ref="AN113:AO113"/>
    <mergeCell ref="B113:F113"/>
    <mergeCell ref="G113:H113"/>
    <mergeCell ref="I113:L113"/>
    <mergeCell ref="M113:O113"/>
    <mergeCell ref="P113:S113"/>
    <mergeCell ref="T113:U113"/>
    <mergeCell ref="V113:X113"/>
    <mergeCell ref="Y114:Z114"/>
    <mergeCell ref="AA114:AC114"/>
    <mergeCell ref="AD114:AE114"/>
    <mergeCell ref="AF114:AM114"/>
    <mergeCell ref="AN114:AO114"/>
    <mergeCell ref="B114:F114"/>
    <mergeCell ref="G114:H114"/>
    <mergeCell ref="I114:L114"/>
    <mergeCell ref="M114:O114"/>
    <mergeCell ref="P114:S114"/>
    <mergeCell ref="T114:U114"/>
    <mergeCell ref="V114:X114"/>
    <mergeCell ref="Y115:Z115"/>
    <mergeCell ref="AA115:AC115"/>
    <mergeCell ref="AD115:AE115"/>
    <mergeCell ref="AF115:AM115"/>
    <mergeCell ref="AN115:AO115"/>
    <mergeCell ref="B115:F115"/>
    <mergeCell ref="G115:H115"/>
    <mergeCell ref="I115:L115"/>
    <mergeCell ref="M115:O115"/>
    <mergeCell ref="P115:S115"/>
    <mergeCell ref="T115:U115"/>
    <mergeCell ref="V115:X115"/>
    <mergeCell ref="Y116:Z116"/>
    <mergeCell ref="AA116:AC116"/>
    <mergeCell ref="AD116:AE116"/>
    <mergeCell ref="AF116:AM116"/>
    <mergeCell ref="AN116:AO116"/>
    <mergeCell ref="B116:F116"/>
    <mergeCell ref="G116:H116"/>
    <mergeCell ref="I116:L116"/>
    <mergeCell ref="M116:O116"/>
    <mergeCell ref="P116:S116"/>
    <mergeCell ref="T116:U116"/>
    <mergeCell ref="V116:X116"/>
    <mergeCell ref="Y117:Z117"/>
    <mergeCell ref="AA117:AC117"/>
    <mergeCell ref="AD117:AE117"/>
    <mergeCell ref="AF117:AM117"/>
    <mergeCell ref="AN117:AO117"/>
    <mergeCell ref="B117:F117"/>
    <mergeCell ref="G117:H117"/>
    <mergeCell ref="I117:L117"/>
    <mergeCell ref="M117:O117"/>
    <mergeCell ref="P117:S117"/>
    <mergeCell ref="T117:U117"/>
    <mergeCell ref="V117:X117"/>
    <mergeCell ref="Y118:Z118"/>
    <mergeCell ref="AA118:AC118"/>
    <mergeCell ref="AD118:AE118"/>
    <mergeCell ref="AF118:AM118"/>
    <mergeCell ref="AN118:AO118"/>
    <mergeCell ref="B118:F118"/>
    <mergeCell ref="G118:H118"/>
    <mergeCell ref="I118:L118"/>
    <mergeCell ref="M118:O118"/>
    <mergeCell ref="P118:S118"/>
    <mergeCell ref="T118:U118"/>
    <mergeCell ref="V118:X118"/>
    <mergeCell ref="Y119:Z119"/>
    <mergeCell ref="AA119:AC119"/>
    <mergeCell ref="AD119:AE119"/>
    <mergeCell ref="AF119:AM119"/>
    <mergeCell ref="AN119:AO119"/>
    <mergeCell ref="B119:F119"/>
    <mergeCell ref="G119:H119"/>
    <mergeCell ref="I119:L119"/>
    <mergeCell ref="M119:O119"/>
    <mergeCell ref="P119:S119"/>
    <mergeCell ref="T119:U119"/>
    <mergeCell ref="V119:X119"/>
    <mergeCell ref="Y120:Z120"/>
    <mergeCell ref="AA120:AC120"/>
    <mergeCell ref="AD120:AE120"/>
    <mergeCell ref="AF120:AM120"/>
    <mergeCell ref="AN120:AO120"/>
    <mergeCell ref="B120:F120"/>
    <mergeCell ref="G120:H120"/>
    <mergeCell ref="I120:L120"/>
    <mergeCell ref="M120:O120"/>
    <mergeCell ref="P120:S120"/>
    <mergeCell ref="T120:U120"/>
    <mergeCell ref="V120:X120"/>
    <mergeCell ref="Y121:Z121"/>
    <mergeCell ref="AA121:AC121"/>
    <mergeCell ref="AD121:AE121"/>
    <mergeCell ref="AF121:AM121"/>
    <mergeCell ref="AN121:AO121"/>
    <mergeCell ref="B121:F121"/>
    <mergeCell ref="G121:H121"/>
    <mergeCell ref="I121:L121"/>
    <mergeCell ref="M121:O121"/>
    <mergeCell ref="P121:S121"/>
    <mergeCell ref="T121:U121"/>
    <mergeCell ref="V121:X121"/>
    <mergeCell ref="Y122:Z122"/>
    <mergeCell ref="AA122:AC122"/>
    <mergeCell ref="AD122:AE122"/>
    <mergeCell ref="AF122:AM122"/>
    <mergeCell ref="AN122:AO122"/>
    <mergeCell ref="B122:F122"/>
    <mergeCell ref="G122:H122"/>
    <mergeCell ref="I122:L122"/>
    <mergeCell ref="M122:O122"/>
    <mergeCell ref="P122:S122"/>
    <mergeCell ref="T122:U122"/>
    <mergeCell ref="V122:X122"/>
    <mergeCell ref="Y123:Z123"/>
    <mergeCell ref="AA123:AC123"/>
    <mergeCell ref="AD123:AE123"/>
    <mergeCell ref="AF123:AM123"/>
    <mergeCell ref="AN123:AO123"/>
    <mergeCell ref="B123:F123"/>
    <mergeCell ref="G123:H123"/>
    <mergeCell ref="I123:L123"/>
    <mergeCell ref="M123:O123"/>
    <mergeCell ref="P123:S123"/>
    <mergeCell ref="T123:U123"/>
    <mergeCell ref="V123:X123"/>
    <mergeCell ref="Y124:Z124"/>
    <mergeCell ref="AA124:AC124"/>
    <mergeCell ref="AD124:AE124"/>
    <mergeCell ref="AF124:AM124"/>
    <mergeCell ref="AN124:AO124"/>
    <mergeCell ref="B124:F124"/>
    <mergeCell ref="G124:H124"/>
    <mergeCell ref="I124:L124"/>
    <mergeCell ref="M124:O124"/>
    <mergeCell ref="P124:S124"/>
    <mergeCell ref="T124:U124"/>
    <mergeCell ref="V124:X124"/>
    <mergeCell ref="Y125:Z125"/>
    <mergeCell ref="AA125:AC125"/>
    <mergeCell ref="AD125:AE125"/>
    <mergeCell ref="AF125:AM125"/>
    <mergeCell ref="AN125:AO125"/>
    <mergeCell ref="B125:F125"/>
    <mergeCell ref="G125:H125"/>
    <mergeCell ref="I125:L125"/>
    <mergeCell ref="M125:O125"/>
    <mergeCell ref="P125:S125"/>
    <mergeCell ref="T125:U125"/>
    <mergeCell ref="V125:X125"/>
    <mergeCell ref="Y126:Z126"/>
    <mergeCell ref="AA126:AC126"/>
    <mergeCell ref="AD126:AE126"/>
    <mergeCell ref="AF126:AM126"/>
    <mergeCell ref="AN126:AO126"/>
    <mergeCell ref="B126:F126"/>
    <mergeCell ref="G126:H126"/>
    <mergeCell ref="I126:L126"/>
    <mergeCell ref="M126:O126"/>
    <mergeCell ref="P126:S126"/>
    <mergeCell ref="T126:U126"/>
    <mergeCell ref="V126:X126"/>
    <mergeCell ref="Y127:Z127"/>
    <mergeCell ref="AA127:AC127"/>
    <mergeCell ref="AD127:AE127"/>
    <mergeCell ref="AF127:AM127"/>
    <mergeCell ref="AN127:AO127"/>
    <mergeCell ref="B127:F127"/>
    <mergeCell ref="G127:H127"/>
    <mergeCell ref="I127:L127"/>
    <mergeCell ref="M127:O127"/>
    <mergeCell ref="P127:S127"/>
    <mergeCell ref="T127:U127"/>
    <mergeCell ref="V127:X127"/>
    <mergeCell ref="Y128:Z128"/>
    <mergeCell ref="AA128:AC128"/>
    <mergeCell ref="AD128:AE128"/>
    <mergeCell ref="AF128:AM128"/>
    <mergeCell ref="AN128:AO128"/>
    <mergeCell ref="B128:F128"/>
    <mergeCell ref="G128:H128"/>
    <mergeCell ref="I128:L128"/>
    <mergeCell ref="M128:O128"/>
    <mergeCell ref="P128:S128"/>
    <mergeCell ref="T128:U128"/>
    <mergeCell ref="V128:X128"/>
    <mergeCell ref="Y129:Z129"/>
    <mergeCell ref="AA129:AC129"/>
    <mergeCell ref="AD129:AE129"/>
    <mergeCell ref="AF129:AM129"/>
    <mergeCell ref="AN129:AO129"/>
    <mergeCell ref="B129:F129"/>
    <mergeCell ref="G129:H129"/>
    <mergeCell ref="I129:L129"/>
    <mergeCell ref="M129:O129"/>
    <mergeCell ref="P129:S129"/>
    <mergeCell ref="T129:U129"/>
    <mergeCell ref="V129:X129"/>
    <mergeCell ref="Y130:Z130"/>
    <mergeCell ref="AA130:AC130"/>
    <mergeCell ref="AD130:AE130"/>
    <mergeCell ref="AF130:AM130"/>
    <mergeCell ref="AN130:AO130"/>
    <mergeCell ref="B130:F130"/>
    <mergeCell ref="G130:H130"/>
    <mergeCell ref="I130:L130"/>
    <mergeCell ref="M130:O130"/>
    <mergeCell ref="P130:S130"/>
    <mergeCell ref="T130:U130"/>
    <mergeCell ref="V130:X130"/>
    <mergeCell ref="Y131:Z131"/>
    <mergeCell ref="AA131:AC131"/>
    <mergeCell ref="AD131:AE131"/>
    <mergeCell ref="AF131:AM131"/>
    <mergeCell ref="AN131:AO131"/>
    <mergeCell ref="B131:F131"/>
    <mergeCell ref="G131:H131"/>
    <mergeCell ref="I131:L131"/>
    <mergeCell ref="M131:O131"/>
    <mergeCell ref="P131:S131"/>
    <mergeCell ref="T131:U131"/>
    <mergeCell ref="V131:X131"/>
    <mergeCell ref="Y132:Z132"/>
    <mergeCell ref="AA132:AC132"/>
    <mergeCell ref="AD132:AE132"/>
    <mergeCell ref="AF132:AM132"/>
    <mergeCell ref="AN132:AO132"/>
    <mergeCell ref="B132:F132"/>
    <mergeCell ref="G132:H132"/>
    <mergeCell ref="I132:L132"/>
    <mergeCell ref="M132:O132"/>
    <mergeCell ref="P132:S132"/>
    <mergeCell ref="T132:U132"/>
    <mergeCell ref="V132:X132"/>
    <mergeCell ref="Y133:Z133"/>
    <mergeCell ref="AA133:AC133"/>
    <mergeCell ref="AD133:AE133"/>
    <mergeCell ref="AF133:AM133"/>
    <mergeCell ref="AN133:AO133"/>
    <mergeCell ref="B133:F133"/>
    <mergeCell ref="G133:H133"/>
    <mergeCell ref="I133:L133"/>
    <mergeCell ref="M133:O133"/>
    <mergeCell ref="P133:S133"/>
    <mergeCell ref="T133:U133"/>
    <mergeCell ref="V133:X133"/>
    <mergeCell ref="Y134:Z134"/>
    <mergeCell ref="AA134:AC134"/>
    <mergeCell ref="AD134:AE134"/>
    <mergeCell ref="AF134:AM134"/>
    <mergeCell ref="AN134:AO134"/>
    <mergeCell ref="B134:F134"/>
    <mergeCell ref="G134:H134"/>
    <mergeCell ref="I134:L134"/>
    <mergeCell ref="M134:O134"/>
    <mergeCell ref="P134:S134"/>
    <mergeCell ref="T134:U134"/>
    <mergeCell ref="V134:X134"/>
    <mergeCell ref="Y135:Z135"/>
    <mergeCell ref="AA135:AC135"/>
    <mergeCell ref="AD135:AE135"/>
    <mergeCell ref="AF135:AM135"/>
    <mergeCell ref="AN135:AO135"/>
    <mergeCell ref="B135:F135"/>
    <mergeCell ref="G135:H135"/>
    <mergeCell ref="I135:L135"/>
    <mergeCell ref="M135:O135"/>
    <mergeCell ref="P135:S135"/>
    <mergeCell ref="T135:U135"/>
    <mergeCell ref="V135:X135"/>
    <mergeCell ref="Y136:Z136"/>
    <mergeCell ref="AA136:AC136"/>
    <mergeCell ref="AD136:AE136"/>
    <mergeCell ref="AF136:AM136"/>
    <mergeCell ref="AN136:AO136"/>
    <mergeCell ref="B136:F136"/>
    <mergeCell ref="G136:H136"/>
    <mergeCell ref="I136:L136"/>
    <mergeCell ref="M136:O136"/>
    <mergeCell ref="P136:S136"/>
    <mergeCell ref="T136:U136"/>
    <mergeCell ref="V136:X136"/>
    <mergeCell ref="Y137:Z137"/>
    <mergeCell ref="AA137:AC137"/>
    <mergeCell ref="AD137:AE137"/>
    <mergeCell ref="AF137:AM137"/>
    <mergeCell ref="AN137:AO137"/>
    <mergeCell ref="B137:F137"/>
    <mergeCell ref="G137:H137"/>
    <mergeCell ref="I137:L137"/>
    <mergeCell ref="M137:O137"/>
    <mergeCell ref="P137:S137"/>
    <mergeCell ref="T137:U137"/>
    <mergeCell ref="V137:X137"/>
    <mergeCell ref="Y138:Z138"/>
    <mergeCell ref="AA138:AC138"/>
    <mergeCell ref="AD138:AE138"/>
    <mergeCell ref="AF138:AM138"/>
    <mergeCell ref="AN138:AO138"/>
    <mergeCell ref="B138:F138"/>
    <mergeCell ref="G138:H138"/>
    <mergeCell ref="I138:L138"/>
    <mergeCell ref="M138:O138"/>
    <mergeCell ref="P138:S138"/>
    <mergeCell ref="T138:U138"/>
    <mergeCell ref="V138:X138"/>
    <mergeCell ref="Y139:Z139"/>
    <mergeCell ref="AA139:AC139"/>
    <mergeCell ref="AD139:AE139"/>
    <mergeCell ref="AF139:AM139"/>
    <mergeCell ref="AN139:AO139"/>
    <mergeCell ref="B139:F139"/>
    <mergeCell ref="G139:H139"/>
    <mergeCell ref="I139:L139"/>
    <mergeCell ref="M139:O139"/>
    <mergeCell ref="P139:S139"/>
    <mergeCell ref="T139:U139"/>
    <mergeCell ref="V139:X139"/>
    <mergeCell ref="Y140:Z140"/>
    <mergeCell ref="AA140:AC140"/>
    <mergeCell ref="AD140:AE140"/>
    <mergeCell ref="AF140:AM140"/>
    <mergeCell ref="AN140:AO140"/>
    <mergeCell ref="B140:F140"/>
    <mergeCell ref="G140:H140"/>
    <mergeCell ref="I140:L140"/>
    <mergeCell ref="M140:O140"/>
    <mergeCell ref="P140:S140"/>
    <mergeCell ref="T140:U140"/>
    <mergeCell ref="V140:X140"/>
    <mergeCell ref="Y141:Z141"/>
    <mergeCell ref="AA141:AC141"/>
    <mergeCell ref="AD141:AE141"/>
    <mergeCell ref="AF141:AM141"/>
    <mergeCell ref="AN141:AO141"/>
    <mergeCell ref="B141:F141"/>
    <mergeCell ref="G141:H141"/>
    <mergeCell ref="I141:L141"/>
    <mergeCell ref="M141:O141"/>
    <mergeCell ref="P141:S141"/>
    <mergeCell ref="T141:U141"/>
    <mergeCell ref="V141:X141"/>
    <mergeCell ref="Y142:Z142"/>
    <mergeCell ref="AA142:AC142"/>
    <mergeCell ref="AD142:AE142"/>
    <mergeCell ref="AF142:AM142"/>
    <mergeCell ref="AN142:AO142"/>
    <mergeCell ref="B142:F142"/>
    <mergeCell ref="G142:H142"/>
    <mergeCell ref="I142:L142"/>
    <mergeCell ref="M142:O142"/>
    <mergeCell ref="P142:S142"/>
    <mergeCell ref="T142:U142"/>
    <mergeCell ref="V142:X142"/>
    <mergeCell ref="Y143:Z143"/>
    <mergeCell ref="AA143:AC143"/>
    <mergeCell ref="AD143:AE143"/>
    <mergeCell ref="AF143:AM143"/>
    <mergeCell ref="AN143:AO143"/>
    <mergeCell ref="B143:F143"/>
    <mergeCell ref="G143:H143"/>
    <mergeCell ref="I143:L143"/>
    <mergeCell ref="M143:O143"/>
    <mergeCell ref="P143:S143"/>
    <mergeCell ref="T143:U143"/>
    <mergeCell ref="V143:X143"/>
    <mergeCell ref="Y144:Z144"/>
    <mergeCell ref="AA144:AC144"/>
    <mergeCell ref="AD144:AE144"/>
    <mergeCell ref="AF144:AM144"/>
    <mergeCell ref="AN144:AO144"/>
    <mergeCell ref="B144:F144"/>
    <mergeCell ref="G144:H144"/>
    <mergeCell ref="I144:L144"/>
    <mergeCell ref="M144:O144"/>
    <mergeCell ref="P144:S144"/>
    <mergeCell ref="T144:U144"/>
    <mergeCell ref="V144:X144"/>
    <mergeCell ref="Y145:Z145"/>
    <mergeCell ref="AA145:AC145"/>
    <mergeCell ref="AD145:AE145"/>
    <mergeCell ref="AF145:AM145"/>
    <mergeCell ref="AN145:AO145"/>
    <mergeCell ref="B145:F145"/>
    <mergeCell ref="G145:H145"/>
    <mergeCell ref="I145:L145"/>
    <mergeCell ref="M145:O145"/>
    <mergeCell ref="P145:S145"/>
    <mergeCell ref="T145:U145"/>
    <mergeCell ref="V145:X145"/>
    <mergeCell ref="Y146:Z146"/>
    <mergeCell ref="AA146:AC146"/>
    <mergeCell ref="AD146:AE146"/>
    <mergeCell ref="AF146:AM146"/>
    <mergeCell ref="AN146:AO146"/>
    <mergeCell ref="B146:F146"/>
    <mergeCell ref="G146:H146"/>
    <mergeCell ref="I146:L146"/>
    <mergeCell ref="M146:O146"/>
    <mergeCell ref="P146:S146"/>
    <mergeCell ref="T146:U146"/>
    <mergeCell ref="V146:X146"/>
    <mergeCell ref="Y147:Z147"/>
    <mergeCell ref="AA147:AC147"/>
    <mergeCell ref="AD147:AE147"/>
    <mergeCell ref="AF147:AM147"/>
    <mergeCell ref="AN147:AO147"/>
    <mergeCell ref="B147:F147"/>
    <mergeCell ref="G147:H147"/>
    <mergeCell ref="I147:L147"/>
    <mergeCell ref="M147:O147"/>
    <mergeCell ref="P147:S147"/>
    <mergeCell ref="T147:U147"/>
    <mergeCell ref="V147:X147"/>
    <mergeCell ref="Y148:Z148"/>
    <mergeCell ref="AA148:AC148"/>
    <mergeCell ref="AD148:AE148"/>
    <mergeCell ref="AF148:AM148"/>
    <mergeCell ref="AN148:AO148"/>
    <mergeCell ref="B148:F148"/>
    <mergeCell ref="G148:H148"/>
    <mergeCell ref="I148:L148"/>
    <mergeCell ref="M148:O148"/>
    <mergeCell ref="P148:S148"/>
    <mergeCell ref="T148:U148"/>
    <mergeCell ref="V148:X148"/>
    <mergeCell ref="Y149:Z149"/>
    <mergeCell ref="AA149:AC149"/>
    <mergeCell ref="AD149:AE149"/>
    <mergeCell ref="AF149:AM149"/>
    <mergeCell ref="AN149:AO149"/>
    <mergeCell ref="B149:F149"/>
    <mergeCell ref="G149:H149"/>
    <mergeCell ref="I149:L149"/>
    <mergeCell ref="M149:O149"/>
    <mergeCell ref="P149:S149"/>
    <mergeCell ref="T149:U149"/>
    <mergeCell ref="V149:X149"/>
    <mergeCell ref="Y150:Z150"/>
    <mergeCell ref="AA150:AC150"/>
    <mergeCell ref="AD150:AE150"/>
    <mergeCell ref="AF150:AM150"/>
    <mergeCell ref="AN150:AO150"/>
    <mergeCell ref="B150:F150"/>
    <mergeCell ref="G150:H150"/>
    <mergeCell ref="I150:L150"/>
    <mergeCell ref="M150:O150"/>
    <mergeCell ref="P150:S150"/>
    <mergeCell ref="T150:U150"/>
    <mergeCell ref="V150:X150"/>
    <mergeCell ref="Y151:Z151"/>
    <mergeCell ref="AA151:AC151"/>
    <mergeCell ref="AD151:AE151"/>
    <mergeCell ref="AF151:AM151"/>
    <mergeCell ref="AN151:AO151"/>
    <mergeCell ref="B151:F151"/>
    <mergeCell ref="G151:H151"/>
    <mergeCell ref="I151:L151"/>
    <mergeCell ref="M151:O151"/>
    <mergeCell ref="P151:S151"/>
    <mergeCell ref="T151:U151"/>
    <mergeCell ref="V151:X151"/>
    <mergeCell ref="Y152:Z152"/>
    <mergeCell ref="AA152:AC152"/>
    <mergeCell ref="AD152:AE152"/>
    <mergeCell ref="AF152:AM152"/>
    <mergeCell ref="AN152:AO152"/>
    <mergeCell ref="B152:F152"/>
    <mergeCell ref="G152:H152"/>
    <mergeCell ref="I152:L152"/>
    <mergeCell ref="M152:O152"/>
    <mergeCell ref="P152:S152"/>
    <mergeCell ref="T152:U152"/>
    <mergeCell ref="V152:X152"/>
    <mergeCell ref="Y153:Z153"/>
    <mergeCell ref="AA153:AC153"/>
    <mergeCell ref="AD153:AE153"/>
    <mergeCell ref="AF153:AM153"/>
    <mergeCell ref="AN153:AO153"/>
    <mergeCell ref="B153:F153"/>
    <mergeCell ref="G153:H153"/>
    <mergeCell ref="I153:L153"/>
    <mergeCell ref="M153:O153"/>
    <mergeCell ref="P153:S153"/>
    <mergeCell ref="T153:U153"/>
    <mergeCell ref="V153:X153"/>
    <mergeCell ref="Y154:Z154"/>
    <mergeCell ref="AA154:AC154"/>
    <mergeCell ref="AD154:AE154"/>
    <mergeCell ref="AF154:AM154"/>
    <mergeCell ref="AN154:AO154"/>
    <mergeCell ref="B154:F154"/>
    <mergeCell ref="G154:H154"/>
    <mergeCell ref="I154:L154"/>
    <mergeCell ref="M154:O154"/>
    <mergeCell ref="P154:S154"/>
    <mergeCell ref="T154:U154"/>
    <mergeCell ref="V154:X154"/>
  </mergeCells>
  <conditionalFormatting sqref="G84:AO201">
    <cfRule type="expression" dxfId="43" priority="1">
      <formula>and($B84&lt;&gt;"",G84="")</formula>
    </cfRule>
  </conditionalFormatting>
  <drawing r:id="rId2"/>
  <legacyDrawing r:id="rId3"/>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05"/>
      <c r="B1" s="506"/>
      <c r="C1" s="506"/>
      <c r="D1" s="506"/>
      <c r="E1" s="506"/>
      <c r="F1" s="506"/>
      <c r="G1" s="506"/>
      <c r="H1" s="507"/>
      <c r="I1" s="507"/>
      <c r="J1" s="507"/>
      <c r="K1" s="507"/>
      <c r="L1" s="506"/>
      <c r="M1" s="506"/>
      <c r="N1" s="506"/>
      <c r="O1" s="508" t="str">
        <f>IMAGE("http://i.imgur.com/4gaCjL0.png",2)</f>
        <v/>
      </c>
      <c r="P1" s="509" t="str">
        <f>IMAGE("https://i.imgur.com/IxRRFOd.png",2)</f>
        <v/>
      </c>
      <c r="AB1" s="510" t="str">
        <f>IMAGE("http://i.imgur.com/GYlWKEy.png",2)</f>
        <v/>
      </c>
      <c r="AC1" s="507"/>
      <c r="AD1" s="507"/>
      <c r="AE1" s="506"/>
      <c r="AF1" s="506"/>
      <c r="AG1" s="506"/>
      <c r="AH1" s="506"/>
      <c r="AI1" s="507"/>
      <c r="AJ1" s="506"/>
      <c r="AK1" s="506"/>
      <c r="AL1" s="506"/>
      <c r="AM1" s="506"/>
      <c r="AN1" s="511"/>
      <c r="AO1" s="511"/>
      <c r="AP1" s="505"/>
    </row>
    <row r="2" ht="15.75" customHeight="1">
      <c r="A2" s="505"/>
      <c r="B2" s="513" t="str">
        <f>IMAGE("http://i.imgur.com/txQSaWP.png",4,20,400)</f>
        <v/>
      </c>
      <c r="P2" s="514" t="s">
        <v>440</v>
      </c>
      <c r="Q2" s="25"/>
      <c r="R2" s="25"/>
      <c r="S2" s="25"/>
      <c r="T2" s="25"/>
      <c r="U2" s="25"/>
      <c r="V2" s="25"/>
      <c r="W2" s="25"/>
      <c r="X2" s="25"/>
      <c r="Y2" s="25"/>
      <c r="Z2" s="25"/>
      <c r="AA2" s="25"/>
      <c r="AC2" s="515" t="str">
        <f>IMAGE("http://i.imgur.com/txQSaWP.png",4,20,400)</f>
        <v/>
      </c>
      <c r="AP2" s="539"/>
    </row>
    <row r="3" ht="15.75" customHeight="1">
      <c r="A3" s="505"/>
      <c r="B3" s="517" t="s">
        <v>441</v>
      </c>
      <c r="P3" s="31"/>
      <c r="Q3" s="31"/>
      <c r="R3" s="31"/>
      <c r="S3" s="31"/>
      <c r="T3" s="31"/>
      <c r="U3" s="31"/>
      <c r="V3" s="31"/>
      <c r="W3" s="31"/>
      <c r="X3" s="31"/>
      <c r="Y3" s="31"/>
      <c r="Z3" s="31"/>
      <c r="AA3" s="31"/>
      <c r="AC3" s="518" t="s">
        <v>442</v>
      </c>
      <c r="AO3" s="11"/>
      <c r="AP3" s="505"/>
    </row>
    <row r="4" ht="15.75" customHeight="1">
      <c r="A4" s="505"/>
      <c r="B4" s="27"/>
      <c r="P4" s="511" t="str">
        <f>IMAGE("http://i.imgur.com/7WHiYi1.png",2)</f>
        <v/>
      </c>
      <c r="AO4" s="11"/>
      <c r="AP4" s="505"/>
    </row>
    <row r="5" ht="15.75" customHeight="1">
      <c r="A5" s="505"/>
      <c r="B5" s="540" t="s">
        <v>443</v>
      </c>
      <c r="C5" s="520"/>
      <c r="D5" s="520"/>
      <c r="E5" s="520"/>
      <c r="F5" s="520"/>
      <c r="G5" s="520"/>
      <c r="H5" s="541" t="s">
        <v>444</v>
      </c>
      <c r="I5" s="520"/>
      <c r="J5" s="541" t="s">
        <v>445</v>
      </c>
      <c r="K5" s="520"/>
      <c r="L5" s="520"/>
      <c r="M5" s="541" t="s">
        <v>446</v>
      </c>
      <c r="N5" s="520"/>
      <c r="O5" s="520"/>
      <c r="P5" s="520"/>
      <c r="Q5" s="520"/>
      <c r="R5" s="541" t="s">
        <v>447</v>
      </c>
      <c r="S5" s="520"/>
      <c r="T5" s="520"/>
      <c r="U5" s="541" t="s">
        <v>448</v>
      </c>
      <c r="V5" s="520"/>
      <c r="W5" s="520"/>
      <c r="X5" s="520"/>
      <c r="Y5" s="541" t="s">
        <v>312</v>
      </c>
      <c r="Z5" s="520"/>
      <c r="AA5" s="520"/>
      <c r="AB5" s="520"/>
      <c r="AC5" s="541" t="s">
        <v>449</v>
      </c>
      <c r="AD5" s="520"/>
      <c r="AE5" s="520"/>
      <c r="AF5" s="541" t="s">
        <v>450</v>
      </c>
      <c r="AG5" s="520"/>
      <c r="AH5" s="541" t="s">
        <v>451</v>
      </c>
      <c r="AI5" s="520"/>
      <c r="AJ5" s="541" t="s">
        <v>452</v>
      </c>
      <c r="AK5" s="520"/>
      <c r="AL5" s="520"/>
      <c r="AM5" s="520"/>
      <c r="AN5" s="520"/>
      <c r="AO5" s="522"/>
    </row>
    <row r="6" ht="15.75" customHeight="1">
      <c r="A6" s="505"/>
      <c r="B6" s="523"/>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c r="AC6" s="524"/>
      <c r="AD6" s="524"/>
      <c r="AE6" s="524"/>
      <c r="AF6" s="524"/>
      <c r="AG6" s="524"/>
      <c r="AH6" s="524"/>
      <c r="AI6" s="524"/>
      <c r="AJ6" s="524"/>
      <c r="AK6" s="524"/>
      <c r="AL6" s="524"/>
      <c r="AM6" s="524"/>
      <c r="AN6" s="524"/>
      <c r="AO6" s="525"/>
    </row>
    <row r="7" ht="15.75" customHeight="1">
      <c r="A7" s="505"/>
      <c r="B7" s="526" t="s">
        <v>453</v>
      </c>
      <c r="H7" s="527">
        <v>1.0</v>
      </c>
      <c r="J7" s="527" t="s">
        <v>321</v>
      </c>
      <c r="M7" s="527" t="s">
        <v>454</v>
      </c>
      <c r="R7" s="527" t="s">
        <v>321</v>
      </c>
      <c r="U7" s="527" t="s">
        <v>455</v>
      </c>
      <c r="Y7" s="527" t="s">
        <v>321</v>
      </c>
      <c r="AC7" s="527" t="s">
        <v>321</v>
      </c>
      <c r="AF7" s="527" t="s">
        <v>321</v>
      </c>
      <c r="AH7" s="527" t="s">
        <v>321</v>
      </c>
      <c r="AJ7" s="527" t="s">
        <v>321</v>
      </c>
      <c r="AO7" s="529"/>
    </row>
    <row r="8" ht="15.75" customHeight="1">
      <c r="A8" s="505"/>
      <c r="B8" s="530" t="s">
        <v>456</v>
      </c>
      <c r="H8" s="531">
        <v>1.0</v>
      </c>
      <c r="J8" s="531" t="s">
        <v>321</v>
      </c>
      <c r="M8" s="531" t="s">
        <v>454</v>
      </c>
      <c r="R8" s="531" t="s">
        <v>321</v>
      </c>
      <c r="U8" s="531" t="s">
        <v>321</v>
      </c>
      <c r="Y8" s="531" t="s">
        <v>321</v>
      </c>
      <c r="AC8" s="531" t="s">
        <v>321</v>
      </c>
      <c r="AF8" s="531" t="s">
        <v>321</v>
      </c>
      <c r="AH8" s="531" t="s">
        <v>321</v>
      </c>
      <c r="AJ8" s="531" t="s">
        <v>321</v>
      </c>
      <c r="AO8" s="533"/>
    </row>
    <row r="9" ht="15.75" customHeight="1">
      <c r="A9" s="505"/>
      <c r="B9" s="526" t="s">
        <v>457</v>
      </c>
      <c r="H9" s="527">
        <v>2.0</v>
      </c>
      <c r="J9" s="527" t="s">
        <v>321</v>
      </c>
      <c r="M9" s="527" t="s">
        <v>454</v>
      </c>
      <c r="R9" s="527" t="s">
        <v>321</v>
      </c>
      <c r="U9" s="527" t="s">
        <v>321</v>
      </c>
      <c r="Y9" s="527" t="s">
        <v>321</v>
      </c>
      <c r="AC9" s="527" t="s">
        <v>321</v>
      </c>
      <c r="AF9" s="527" t="s">
        <v>321</v>
      </c>
      <c r="AH9" s="527" t="s">
        <v>321</v>
      </c>
      <c r="AJ9" s="527" t="s">
        <v>321</v>
      </c>
      <c r="AO9" s="529"/>
    </row>
    <row r="10" ht="15.75" customHeight="1">
      <c r="A10" s="505"/>
      <c r="B10" s="530" t="s">
        <v>458</v>
      </c>
      <c r="H10" s="531">
        <v>2.0</v>
      </c>
      <c r="J10" s="531">
        <f>if(isnumber(find("medium armor master",feats)),3,2)</f>
        <v>2</v>
      </c>
      <c r="M10" s="531" t="s">
        <v>459</v>
      </c>
      <c r="R10" s="531" t="s">
        <v>321</v>
      </c>
      <c r="U10" s="531" t="s">
        <v>321</v>
      </c>
      <c r="Y10" s="531" t="s">
        <v>321</v>
      </c>
      <c r="AC10" s="531" t="s">
        <v>321</v>
      </c>
      <c r="AF10" s="531" t="s">
        <v>321</v>
      </c>
      <c r="AH10" s="531" t="s">
        <v>321</v>
      </c>
      <c r="AJ10" s="531" t="s">
        <v>321</v>
      </c>
      <c r="AO10" s="533"/>
    </row>
    <row r="11" ht="15.75" customHeight="1">
      <c r="A11" s="505"/>
      <c r="B11" s="526" t="s">
        <v>460</v>
      </c>
      <c r="H11" s="527">
        <v>3.0</v>
      </c>
      <c r="J11" s="527">
        <f>if(isnumber(find("medium armor master",feats)),3,2)</f>
        <v>2</v>
      </c>
      <c r="M11" s="527" t="s">
        <v>459</v>
      </c>
      <c r="R11" s="527" t="s">
        <v>321</v>
      </c>
      <c r="U11" s="527" t="s">
        <v>321</v>
      </c>
      <c r="Y11" s="527" t="s">
        <v>321</v>
      </c>
      <c r="AC11" s="527" t="s">
        <v>321</v>
      </c>
      <c r="AF11" s="527" t="s">
        <v>321</v>
      </c>
      <c r="AH11" s="527" t="s">
        <v>321</v>
      </c>
      <c r="AJ11" s="527" t="s">
        <v>321</v>
      </c>
      <c r="AO11" s="529"/>
    </row>
    <row r="12" ht="15.75" customHeight="1">
      <c r="A12" s="505"/>
      <c r="B12" s="530" t="s">
        <v>461</v>
      </c>
      <c r="H12" s="531">
        <v>4.0</v>
      </c>
      <c r="J12" s="531">
        <f>if(isnumber(find("medium armor master",feats)),3,2)</f>
        <v>2</v>
      </c>
      <c r="M12" s="531" t="s">
        <v>459</v>
      </c>
      <c r="R12" s="531" t="s">
        <v>321</v>
      </c>
      <c r="U12" s="531" t="s">
        <v>455</v>
      </c>
      <c r="Y12" s="531" t="s">
        <v>321</v>
      </c>
      <c r="AC12" s="531" t="s">
        <v>321</v>
      </c>
      <c r="AF12" s="531" t="s">
        <v>321</v>
      </c>
      <c r="AH12" s="531" t="s">
        <v>321</v>
      </c>
      <c r="AJ12" s="531" t="s">
        <v>321</v>
      </c>
      <c r="AO12" s="533"/>
    </row>
    <row r="13" ht="15.75" customHeight="1">
      <c r="A13" s="505"/>
      <c r="B13" s="526" t="s">
        <v>462</v>
      </c>
      <c r="H13" s="527">
        <v>4.0</v>
      </c>
      <c r="J13" s="527">
        <f>if(isnumber(find("medium armor master",feats)),3,2)</f>
        <v>2</v>
      </c>
      <c r="M13" s="527" t="s">
        <v>459</v>
      </c>
      <c r="R13" s="527" t="s">
        <v>321</v>
      </c>
      <c r="U13" s="527" t="s">
        <v>321</v>
      </c>
      <c r="Y13" s="527" t="s">
        <v>321</v>
      </c>
      <c r="AC13" s="527" t="s">
        <v>321</v>
      </c>
      <c r="AF13" s="527" t="s">
        <v>321</v>
      </c>
      <c r="AH13" s="527" t="s">
        <v>321</v>
      </c>
      <c r="AJ13" s="527" t="s">
        <v>321</v>
      </c>
      <c r="AO13" s="529"/>
    </row>
    <row r="14" ht="15.75" customHeight="1">
      <c r="A14" s="505"/>
      <c r="B14" s="530" t="s">
        <v>463</v>
      </c>
      <c r="H14" s="531">
        <v>5.0</v>
      </c>
      <c r="J14" s="531">
        <f>if(isnumber(find("medium armor master",feats)),3,2)</f>
        <v>2</v>
      </c>
      <c r="M14" s="531" t="s">
        <v>459</v>
      </c>
      <c r="R14" s="531" t="s">
        <v>321</v>
      </c>
      <c r="U14" s="531" t="s">
        <v>455</v>
      </c>
      <c r="Y14" s="531" t="s">
        <v>321</v>
      </c>
      <c r="AC14" s="531" t="s">
        <v>321</v>
      </c>
      <c r="AF14" s="531" t="s">
        <v>321</v>
      </c>
      <c r="AH14" s="531" t="s">
        <v>321</v>
      </c>
      <c r="AJ14" s="531" t="s">
        <v>321</v>
      </c>
      <c r="AO14" s="533"/>
    </row>
    <row r="15" ht="15.75" customHeight="1">
      <c r="A15" s="505"/>
      <c r="B15" s="526" t="s">
        <v>464</v>
      </c>
      <c r="H15" s="527">
        <v>4.0</v>
      </c>
      <c r="J15" s="527">
        <v>0.0</v>
      </c>
      <c r="M15" s="527" t="s">
        <v>465</v>
      </c>
      <c r="R15" s="527" t="s">
        <v>321</v>
      </c>
      <c r="U15" s="527" t="s">
        <v>455</v>
      </c>
      <c r="Y15" s="527" t="s">
        <v>321</v>
      </c>
      <c r="AC15" s="527" t="s">
        <v>321</v>
      </c>
      <c r="AF15" s="527" t="s">
        <v>321</v>
      </c>
      <c r="AH15" s="527" t="s">
        <v>321</v>
      </c>
      <c r="AJ15" s="527" t="s">
        <v>321</v>
      </c>
      <c r="AO15" s="529"/>
    </row>
    <row r="16" ht="15.75" customHeight="1">
      <c r="A16" s="505"/>
      <c r="B16" s="530" t="s">
        <v>466</v>
      </c>
      <c r="H16" s="531">
        <v>6.0</v>
      </c>
      <c r="J16" s="531">
        <v>0.0</v>
      </c>
      <c r="M16" s="531" t="s">
        <v>465</v>
      </c>
      <c r="R16" s="531">
        <v>13.0</v>
      </c>
      <c r="U16" s="531" t="s">
        <v>455</v>
      </c>
      <c r="Y16" s="531" t="s">
        <v>321</v>
      </c>
      <c r="AC16" s="531" t="s">
        <v>321</v>
      </c>
      <c r="AF16" s="531" t="s">
        <v>321</v>
      </c>
      <c r="AH16" s="531" t="s">
        <v>321</v>
      </c>
      <c r="AJ16" s="531" t="s">
        <v>321</v>
      </c>
      <c r="AO16" s="533"/>
    </row>
    <row r="17" ht="15.75" customHeight="1">
      <c r="A17" s="505"/>
      <c r="B17" s="526" t="s">
        <v>467</v>
      </c>
      <c r="H17" s="527">
        <v>7.0</v>
      </c>
      <c r="J17" s="527">
        <v>0.0</v>
      </c>
      <c r="M17" s="527" t="s">
        <v>465</v>
      </c>
      <c r="R17" s="527">
        <v>15.0</v>
      </c>
      <c r="U17" s="527" t="s">
        <v>455</v>
      </c>
      <c r="Y17" s="527" t="s">
        <v>321</v>
      </c>
      <c r="AC17" s="527" t="s">
        <v>321</v>
      </c>
      <c r="AF17" s="527" t="s">
        <v>321</v>
      </c>
      <c r="AH17" s="527" t="s">
        <v>321</v>
      </c>
      <c r="AJ17" s="527" t="s">
        <v>321</v>
      </c>
      <c r="AO17" s="529"/>
    </row>
    <row r="18" ht="15.75" customHeight="1">
      <c r="A18" s="505"/>
      <c r="B18" s="530" t="s">
        <v>468</v>
      </c>
      <c r="H18" s="531">
        <v>8.0</v>
      </c>
      <c r="J18" s="531">
        <v>0.0</v>
      </c>
      <c r="M18" s="531" t="s">
        <v>465</v>
      </c>
      <c r="R18" s="531">
        <v>15.0</v>
      </c>
      <c r="U18" s="531" t="s">
        <v>455</v>
      </c>
      <c r="Y18" s="531" t="s">
        <v>321</v>
      </c>
      <c r="AC18" s="531" t="s">
        <v>321</v>
      </c>
      <c r="AF18" s="531" t="s">
        <v>321</v>
      </c>
      <c r="AH18" s="531" t="s">
        <v>321</v>
      </c>
      <c r="AJ18" s="531" t="s">
        <v>321</v>
      </c>
      <c r="AO18" s="533"/>
    </row>
    <row r="19" ht="15.75" customHeight="1">
      <c r="A19" s="505"/>
      <c r="B19" s="526" t="s">
        <v>469</v>
      </c>
      <c r="H19" s="527">
        <v>2.0</v>
      </c>
      <c r="J19" s="527" t="s">
        <v>321</v>
      </c>
      <c r="M19" s="527" t="s">
        <v>469</v>
      </c>
      <c r="R19" s="527" t="s">
        <v>321</v>
      </c>
      <c r="U19" s="527" t="s">
        <v>321</v>
      </c>
      <c r="Y19" s="527" t="s">
        <v>321</v>
      </c>
      <c r="AC19" s="527" t="s">
        <v>321</v>
      </c>
      <c r="AF19" s="527" t="s">
        <v>321</v>
      </c>
      <c r="AH19" s="527" t="s">
        <v>321</v>
      </c>
      <c r="AJ19" s="527" t="s">
        <v>321</v>
      </c>
      <c r="AO19" s="529"/>
    </row>
    <row r="20" ht="15.75" customHeight="1">
      <c r="A20" s="505"/>
      <c r="B20" s="530" t="s">
        <v>470</v>
      </c>
      <c r="H20" s="531">
        <v>0.0</v>
      </c>
      <c r="J20" s="531" t="s">
        <v>321</v>
      </c>
      <c r="M20" s="531" t="s">
        <v>471</v>
      </c>
      <c r="R20" s="531" t="s">
        <v>321</v>
      </c>
      <c r="U20" s="531" t="s">
        <v>321</v>
      </c>
      <c r="Y20" s="531" t="s">
        <v>321</v>
      </c>
      <c r="AC20" s="531" t="s">
        <v>321</v>
      </c>
      <c r="AF20" s="531" t="s">
        <v>321</v>
      </c>
      <c r="AH20" s="531" t="s">
        <v>321</v>
      </c>
      <c r="AJ20" s="531" t="s">
        <v>321</v>
      </c>
      <c r="AO20" s="533"/>
    </row>
    <row r="21" ht="15.75" customHeight="1">
      <c r="A21" s="505"/>
      <c r="B21" s="526" t="s">
        <v>472</v>
      </c>
      <c r="H21" s="527">
        <v>0.0</v>
      </c>
      <c r="J21" s="527" t="s">
        <v>321</v>
      </c>
      <c r="M21" s="527" t="s">
        <v>471</v>
      </c>
      <c r="R21" s="527" t="s">
        <v>321</v>
      </c>
      <c r="U21" s="527" t="s">
        <v>321</v>
      </c>
      <c r="Y21" s="527" t="s">
        <v>321</v>
      </c>
      <c r="AC21" s="527" t="s">
        <v>321</v>
      </c>
      <c r="AF21" s="527" t="s">
        <v>321</v>
      </c>
      <c r="AH21" s="527" t="s">
        <v>321</v>
      </c>
      <c r="AJ21" s="527" t="s">
        <v>321</v>
      </c>
      <c r="AO21" s="529"/>
    </row>
    <row r="22" ht="15.75" customHeight="1">
      <c r="A22" s="505"/>
      <c r="B22" s="530" t="s">
        <v>473</v>
      </c>
      <c r="H22" s="531">
        <v>0.0</v>
      </c>
      <c r="J22" s="531" t="s">
        <v>321</v>
      </c>
      <c r="M22" s="531" t="s">
        <v>471</v>
      </c>
      <c r="R22" s="531" t="s">
        <v>321</v>
      </c>
      <c r="U22" s="531" t="s">
        <v>321</v>
      </c>
      <c r="Y22" s="531" t="s">
        <v>321</v>
      </c>
      <c r="AC22" s="531" t="s">
        <v>321</v>
      </c>
      <c r="AF22" s="531" t="s">
        <v>321</v>
      </c>
      <c r="AH22" s="531" t="s">
        <v>321</v>
      </c>
      <c r="AJ22" s="531" t="s">
        <v>321</v>
      </c>
      <c r="AO22" s="533"/>
    </row>
    <row r="23" ht="15.75" customHeight="1">
      <c r="A23" s="505"/>
      <c r="B23" s="526" t="s">
        <v>474</v>
      </c>
      <c r="H23" s="527">
        <v>0.0</v>
      </c>
      <c r="J23" s="527" t="s">
        <v>321</v>
      </c>
      <c r="M23" s="527" t="s">
        <v>471</v>
      </c>
      <c r="R23" s="527" t="s">
        <v>321</v>
      </c>
      <c r="U23" s="527" t="s">
        <v>321</v>
      </c>
      <c r="Y23" s="527" t="s">
        <v>321</v>
      </c>
      <c r="AC23" s="527" t="s">
        <v>321</v>
      </c>
      <c r="AF23" s="527" t="s">
        <v>321</v>
      </c>
      <c r="AH23" s="527" t="s">
        <v>321</v>
      </c>
      <c r="AJ23" s="527" t="s">
        <v>321</v>
      </c>
      <c r="AO23" s="529"/>
    </row>
    <row r="24" ht="15.75" customHeight="1">
      <c r="A24" s="505"/>
      <c r="B24" s="530" t="s">
        <v>475</v>
      </c>
      <c r="H24" s="531">
        <v>0.0</v>
      </c>
      <c r="J24" s="531" t="s">
        <v>321</v>
      </c>
      <c r="M24" s="531" t="s">
        <v>471</v>
      </c>
      <c r="R24" s="531" t="s">
        <v>321</v>
      </c>
      <c r="U24" s="531" t="s">
        <v>321</v>
      </c>
      <c r="Y24" s="531" t="s">
        <v>321</v>
      </c>
      <c r="AC24" s="531" t="s">
        <v>321</v>
      </c>
      <c r="AF24" s="531" t="s">
        <v>321</v>
      </c>
      <c r="AH24" s="531" t="s">
        <v>321</v>
      </c>
      <c r="AJ24" s="531" t="s">
        <v>321</v>
      </c>
      <c r="AO24" s="533"/>
    </row>
    <row r="25" ht="15.75" customHeight="1">
      <c r="A25" s="505"/>
      <c r="B25" s="526" t="s">
        <v>476</v>
      </c>
      <c r="H25" s="527">
        <v>0.0</v>
      </c>
      <c r="J25" s="527" t="s">
        <v>321</v>
      </c>
      <c r="M25" s="527" t="s">
        <v>471</v>
      </c>
      <c r="R25" s="527" t="s">
        <v>321</v>
      </c>
      <c r="U25" s="527" t="s">
        <v>321</v>
      </c>
      <c r="Y25" s="527" t="s">
        <v>321</v>
      </c>
      <c r="AC25" s="527" t="s">
        <v>321</v>
      </c>
      <c r="AF25" s="527" t="s">
        <v>321</v>
      </c>
      <c r="AH25" s="527" t="s">
        <v>321</v>
      </c>
      <c r="AJ25" s="527" t="s">
        <v>321</v>
      </c>
      <c r="AO25" s="529"/>
    </row>
    <row r="26" ht="15.75" customHeight="1">
      <c r="A26" s="505"/>
      <c r="B26" s="530"/>
      <c r="H26" s="531"/>
      <c r="J26" s="531"/>
      <c r="M26" s="531"/>
      <c r="R26" s="531"/>
      <c r="U26" s="531"/>
      <c r="Y26" s="531"/>
      <c r="AC26" s="531"/>
      <c r="AF26" s="531"/>
      <c r="AH26" s="531"/>
      <c r="AJ26" s="531"/>
      <c r="AO26" s="533"/>
    </row>
    <row r="27" ht="15.75" customHeight="1">
      <c r="A27" s="505"/>
      <c r="B27" s="526"/>
      <c r="H27" s="527"/>
      <c r="J27" s="527"/>
      <c r="M27" s="527"/>
      <c r="R27" s="527"/>
      <c r="U27" s="527"/>
      <c r="Y27" s="527"/>
      <c r="AC27" s="527"/>
      <c r="AF27" s="527"/>
      <c r="AH27" s="527"/>
      <c r="AJ27" s="527"/>
      <c r="AO27" s="529"/>
    </row>
    <row r="28" ht="15.75" customHeight="1">
      <c r="A28" s="505"/>
      <c r="B28" s="530"/>
      <c r="H28" s="531"/>
      <c r="J28" s="531"/>
      <c r="M28" s="531"/>
      <c r="R28" s="531"/>
      <c r="U28" s="531"/>
      <c r="Y28" s="531"/>
      <c r="AC28" s="531"/>
      <c r="AF28" s="531"/>
      <c r="AH28" s="531"/>
      <c r="AJ28" s="531"/>
      <c r="AO28" s="533"/>
    </row>
    <row r="29" ht="15.75" customHeight="1">
      <c r="A29" s="505"/>
      <c r="B29" s="526"/>
      <c r="H29" s="527"/>
      <c r="J29" s="527"/>
      <c r="M29" s="527"/>
      <c r="R29" s="527"/>
      <c r="U29" s="527"/>
      <c r="Y29" s="527"/>
      <c r="AC29" s="527"/>
      <c r="AF29" s="527"/>
      <c r="AH29" s="527"/>
      <c r="AJ29" s="527"/>
      <c r="AO29" s="529"/>
    </row>
    <row r="30" ht="15.75" customHeight="1">
      <c r="A30" s="505"/>
      <c r="B30" s="530"/>
      <c r="H30" s="531"/>
      <c r="J30" s="531"/>
      <c r="M30" s="531"/>
      <c r="R30" s="531"/>
      <c r="U30" s="531"/>
      <c r="Y30" s="531"/>
      <c r="AC30" s="531"/>
      <c r="AF30" s="531"/>
      <c r="AH30" s="531"/>
      <c r="AJ30" s="531"/>
      <c r="AO30" s="533"/>
    </row>
    <row r="31" ht="15.75" customHeight="1">
      <c r="A31" s="505"/>
      <c r="B31" s="526"/>
      <c r="H31" s="527"/>
      <c r="J31" s="527"/>
      <c r="M31" s="527"/>
      <c r="R31" s="527"/>
      <c r="U31" s="527"/>
      <c r="Y31" s="527"/>
      <c r="AC31" s="527"/>
      <c r="AF31" s="527"/>
      <c r="AH31" s="527"/>
      <c r="AJ31" s="527"/>
      <c r="AO31" s="529"/>
    </row>
    <row r="32" ht="15.75" customHeight="1">
      <c r="A32" s="505"/>
      <c r="B32" s="530"/>
      <c r="H32" s="531"/>
      <c r="J32" s="531"/>
      <c r="M32" s="531"/>
      <c r="R32" s="531"/>
      <c r="U32" s="531"/>
      <c r="Y32" s="531"/>
      <c r="AC32" s="531"/>
      <c r="AF32" s="531"/>
      <c r="AH32" s="531"/>
      <c r="AJ32" s="531"/>
      <c r="AO32" s="533"/>
    </row>
    <row r="33" ht="15.75" customHeight="1">
      <c r="A33" s="505"/>
      <c r="B33" s="526"/>
      <c r="H33" s="527"/>
      <c r="J33" s="527"/>
      <c r="M33" s="527"/>
      <c r="R33" s="527"/>
      <c r="U33" s="527"/>
      <c r="Y33" s="527"/>
      <c r="AC33" s="527"/>
      <c r="AF33" s="527"/>
      <c r="AH33" s="527"/>
      <c r="AJ33" s="527"/>
      <c r="AO33" s="529"/>
    </row>
    <row r="34" ht="15.75" customHeight="1">
      <c r="A34" s="505"/>
      <c r="B34" s="530"/>
      <c r="H34" s="531"/>
      <c r="J34" s="531"/>
      <c r="M34" s="531"/>
      <c r="R34" s="531"/>
      <c r="U34" s="531"/>
      <c r="Y34" s="531"/>
      <c r="AC34" s="531"/>
      <c r="AF34" s="531"/>
      <c r="AH34" s="531"/>
      <c r="AJ34" s="531"/>
      <c r="AO34" s="533"/>
    </row>
    <row r="35" ht="15.75" customHeight="1">
      <c r="A35" s="505"/>
      <c r="B35" s="526"/>
      <c r="H35" s="527"/>
      <c r="J35" s="527"/>
      <c r="M35" s="527"/>
      <c r="R35" s="527"/>
      <c r="U35" s="527"/>
      <c r="Y35" s="527"/>
      <c r="AC35" s="527"/>
      <c r="AF35" s="527"/>
      <c r="AH35" s="527"/>
      <c r="AJ35" s="527"/>
      <c r="AO35" s="529"/>
    </row>
    <row r="36" ht="15.75" customHeight="1">
      <c r="A36" s="505"/>
      <c r="B36" s="530"/>
      <c r="H36" s="531"/>
      <c r="J36" s="531"/>
      <c r="M36" s="531"/>
      <c r="R36" s="531"/>
      <c r="U36" s="531"/>
      <c r="Y36" s="531"/>
      <c r="AC36" s="531"/>
      <c r="AF36" s="531"/>
      <c r="AH36" s="531"/>
      <c r="AJ36" s="531"/>
      <c r="AO36" s="533"/>
    </row>
    <row r="37" ht="15.75" customHeight="1">
      <c r="A37" s="505"/>
      <c r="B37" s="526"/>
      <c r="H37" s="527"/>
      <c r="J37" s="527"/>
      <c r="M37" s="527"/>
      <c r="R37" s="527"/>
      <c r="U37" s="527"/>
      <c r="Y37" s="527"/>
      <c r="AC37" s="527"/>
      <c r="AF37" s="527"/>
      <c r="AH37" s="527"/>
      <c r="AJ37" s="534"/>
      <c r="AO37" s="529"/>
    </row>
    <row r="38" ht="15.75" customHeight="1">
      <c r="A38" s="505"/>
      <c r="B38" s="530"/>
      <c r="H38" s="531"/>
      <c r="J38" s="531"/>
      <c r="M38" s="531"/>
      <c r="R38" s="531"/>
      <c r="U38" s="531"/>
      <c r="Y38" s="531"/>
      <c r="AC38" s="531"/>
      <c r="AF38" s="531"/>
      <c r="AH38" s="531"/>
      <c r="AJ38" s="531"/>
      <c r="AO38" s="533"/>
    </row>
    <row r="39" ht="15.75" customHeight="1">
      <c r="A39" s="505"/>
      <c r="B39" s="526"/>
      <c r="H39" s="527"/>
      <c r="J39" s="527"/>
      <c r="M39" s="527"/>
      <c r="R39" s="527"/>
      <c r="U39" s="527"/>
      <c r="Y39" s="527"/>
      <c r="AC39" s="527"/>
      <c r="AF39" s="527"/>
      <c r="AH39" s="527"/>
      <c r="AJ39" s="527"/>
      <c r="AO39" s="529"/>
    </row>
    <row r="40" ht="15.75" customHeight="1">
      <c r="A40" s="505"/>
      <c r="B40" s="530"/>
      <c r="H40" s="531"/>
      <c r="J40" s="531"/>
      <c r="M40" s="531"/>
      <c r="R40" s="531"/>
      <c r="U40" s="531"/>
      <c r="Y40" s="531"/>
      <c r="AC40" s="531"/>
      <c r="AF40" s="531"/>
      <c r="AH40" s="531"/>
      <c r="AJ40" s="531"/>
      <c r="AO40" s="533"/>
    </row>
    <row r="41" ht="15.75" customHeight="1">
      <c r="A41" s="505"/>
      <c r="B41" s="526"/>
      <c r="H41" s="527"/>
      <c r="J41" s="527"/>
      <c r="M41" s="527"/>
      <c r="R41" s="527"/>
      <c r="U41" s="527"/>
      <c r="Y41" s="527"/>
      <c r="AC41" s="527"/>
      <c r="AF41" s="527"/>
      <c r="AH41" s="527"/>
      <c r="AJ41" s="527"/>
      <c r="AO41" s="529"/>
    </row>
    <row r="42" ht="15.75" customHeight="1">
      <c r="A42" s="505"/>
      <c r="B42" s="538"/>
      <c r="H42" s="535"/>
      <c r="J42" s="535"/>
      <c r="M42" s="535"/>
      <c r="R42" s="535"/>
      <c r="U42" s="535"/>
      <c r="Y42" s="535"/>
      <c r="AC42" s="535"/>
      <c r="AF42" s="535"/>
      <c r="AH42" s="535"/>
      <c r="AJ42" s="535"/>
      <c r="AO42" s="533"/>
    </row>
    <row r="43" ht="15.75" customHeight="1">
      <c r="A43" s="505"/>
      <c r="B43" s="536"/>
      <c r="H43" s="534"/>
      <c r="J43" s="534"/>
      <c r="M43" s="534"/>
      <c r="R43" s="534"/>
      <c r="U43" s="534"/>
      <c r="Y43" s="534"/>
      <c r="AC43" s="534"/>
      <c r="AF43" s="534"/>
      <c r="AH43" s="534"/>
      <c r="AJ43" s="534"/>
      <c r="AO43" s="529"/>
    </row>
    <row r="44" ht="15.75" customHeight="1">
      <c r="A44" s="505"/>
      <c r="B44" s="538"/>
      <c r="H44" s="535"/>
      <c r="J44" s="535"/>
      <c r="M44" s="535"/>
      <c r="R44" s="535"/>
      <c r="U44" s="535"/>
      <c r="Y44" s="535"/>
      <c r="AC44" s="535"/>
      <c r="AF44" s="535"/>
      <c r="AH44" s="535"/>
      <c r="AJ44" s="535"/>
      <c r="AO44" s="533"/>
    </row>
    <row r="45" ht="15.75" customHeight="1">
      <c r="A45" s="505"/>
      <c r="B45" s="536"/>
      <c r="H45" s="534"/>
      <c r="J45" s="534"/>
      <c r="M45" s="527"/>
      <c r="R45" s="527"/>
      <c r="U45" s="527"/>
      <c r="Y45" s="534"/>
      <c r="AC45" s="527"/>
      <c r="AF45" s="527"/>
      <c r="AH45" s="527"/>
      <c r="AJ45" s="527"/>
      <c r="AO45" s="529"/>
    </row>
    <row r="46" ht="15.75" customHeight="1">
      <c r="A46" s="505"/>
      <c r="B46" s="530"/>
      <c r="H46" s="531"/>
      <c r="J46" s="531"/>
      <c r="M46" s="531"/>
      <c r="R46" s="531"/>
      <c r="U46" s="531"/>
      <c r="Y46" s="531"/>
      <c r="AC46" s="531"/>
      <c r="AF46" s="531"/>
      <c r="AH46" s="531"/>
      <c r="AJ46" s="531"/>
      <c r="AO46" s="533"/>
    </row>
    <row r="47" ht="15.75" customHeight="1">
      <c r="A47" s="505"/>
      <c r="B47" s="526"/>
      <c r="H47" s="527"/>
      <c r="J47" s="527"/>
      <c r="M47" s="527"/>
      <c r="R47" s="527"/>
      <c r="U47" s="527"/>
      <c r="Y47" s="527"/>
      <c r="AC47" s="527"/>
      <c r="AF47" s="527"/>
      <c r="AH47" s="527"/>
      <c r="AJ47" s="527"/>
      <c r="AO47" s="529"/>
    </row>
    <row r="48" ht="15.75" customHeight="1">
      <c r="A48" s="505"/>
      <c r="B48" s="530"/>
      <c r="H48" s="531"/>
      <c r="J48" s="531"/>
      <c r="M48" s="531"/>
      <c r="R48" s="531"/>
      <c r="U48" s="531"/>
      <c r="Y48" s="531"/>
      <c r="AC48" s="531"/>
      <c r="AF48" s="531"/>
      <c r="AH48" s="531"/>
      <c r="AJ48" s="531"/>
      <c r="AO48" s="533"/>
    </row>
    <row r="49" ht="15.75" customHeight="1">
      <c r="A49" s="505"/>
      <c r="B49" s="526"/>
      <c r="H49" s="527"/>
      <c r="J49" s="527"/>
      <c r="M49" s="527"/>
      <c r="R49" s="527"/>
      <c r="U49" s="527"/>
      <c r="Y49" s="527"/>
      <c r="AC49" s="527"/>
      <c r="AF49" s="527"/>
      <c r="AH49" s="527"/>
      <c r="AJ49" s="527"/>
      <c r="AO49" s="529"/>
    </row>
    <row r="50" ht="15.75" customHeight="1">
      <c r="A50" s="505"/>
      <c r="B50" s="530"/>
      <c r="H50" s="531"/>
      <c r="J50" s="531"/>
      <c r="M50" s="531"/>
      <c r="R50" s="531"/>
      <c r="U50" s="531"/>
      <c r="Y50" s="531"/>
      <c r="AC50" s="531"/>
      <c r="AF50" s="531"/>
      <c r="AH50" s="531"/>
      <c r="AJ50" s="531"/>
      <c r="AO50" s="533"/>
    </row>
    <row r="51" ht="15.75" customHeight="1">
      <c r="A51" s="505"/>
      <c r="B51" s="526"/>
      <c r="H51" s="527"/>
      <c r="J51" s="527"/>
      <c r="M51" s="527"/>
      <c r="R51" s="527"/>
      <c r="U51" s="527"/>
      <c r="Y51" s="527"/>
      <c r="AC51" s="527"/>
      <c r="AF51" s="527"/>
      <c r="AH51" s="527"/>
      <c r="AJ51" s="527"/>
      <c r="AO51" s="529"/>
    </row>
    <row r="52" ht="15.75" customHeight="1">
      <c r="A52" s="505"/>
      <c r="B52" s="530"/>
      <c r="H52" s="531"/>
      <c r="J52" s="531"/>
      <c r="M52" s="531"/>
      <c r="R52" s="531"/>
      <c r="U52" s="531"/>
      <c r="Y52" s="531"/>
      <c r="AC52" s="531"/>
      <c r="AF52" s="531"/>
      <c r="AH52" s="531"/>
      <c r="AJ52" s="531"/>
      <c r="AO52" s="533"/>
    </row>
    <row r="53" ht="15.75" customHeight="1">
      <c r="A53" s="505"/>
      <c r="B53" s="526"/>
      <c r="H53" s="527"/>
      <c r="J53" s="527"/>
      <c r="M53" s="527"/>
      <c r="R53" s="527"/>
      <c r="U53" s="527"/>
      <c r="Y53" s="527"/>
      <c r="AC53" s="527"/>
      <c r="AF53" s="527"/>
      <c r="AH53" s="527"/>
      <c r="AJ53" s="527"/>
      <c r="AO53" s="529"/>
    </row>
    <row r="54" ht="15.75" customHeight="1">
      <c r="A54" s="505"/>
      <c r="B54" s="530"/>
      <c r="H54" s="531"/>
      <c r="J54" s="531"/>
      <c r="M54" s="531"/>
      <c r="R54" s="531"/>
      <c r="U54" s="531"/>
      <c r="Y54" s="531"/>
      <c r="AC54" s="531"/>
      <c r="AF54" s="531"/>
      <c r="AH54" s="531"/>
      <c r="AJ54" s="531"/>
      <c r="AO54" s="533"/>
    </row>
    <row r="55" ht="15.75" customHeight="1">
      <c r="A55" s="505"/>
      <c r="B55" s="526"/>
      <c r="H55" s="527"/>
      <c r="J55" s="527"/>
      <c r="M55" s="527"/>
      <c r="R55" s="527"/>
      <c r="U55" s="527"/>
      <c r="Y55" s="527"/>
      <c r="AC55" s="527"/>
      <c r="AF55" s="527"/>
      <c r="AH55" s="527"/>
      <c r="AJ55" s="527"/>
      <c r="AO55" s="529"/>
    </row>
    <row r="56" ht="15.75" customHeight="1">
      <c r="A56" s="505"/>
      <c r="B56" s="530"/>
      <c r="H56" s="531"/>
      <c r="J56" s="531"/>
      <c r="M56" s="531"/>
      <c r="R56" s="531"/>
      <c r="U56" s="531"/>
      <c r="Y56" s="531"/>
      <c r="AC56" s="531"/>
      <c r="AF56" s="531"/>
      <c r="AH56" s="531"/>
      <c r="AJ56" s="531"/>
      <c r="AO56" s="533"/>
    </row>
    <row r="57" ht="15.75" customHeight="1">
      <c r="A57" s="505"/>
      <c r="B57" s="526"/>
      <c r="H57" s="527"/>
      <c r="J57" s="527"/>
      <c r="M57" s="527"/>
      <c r="R57" s="527"/>
      <c r="U57" s="527"/>
      <c r="Y57" s="527"/>
      <c r="AC57" s="527"/>
      <c r="AF57" s="527"/>
      <c r="AH57" s="527"/>
      <c r="AJ57" s="527"/>
      <c r="AO57" s="529"/>
    </row>
    <row r="58" ht="15.75" customHeight="1">
      <c r="A58" s="505"/>
      <c r="B58" s="530"/>
      <c r="H58" s="531"/>
      <c r="J58" s="531"/>
      <c r="M58" s="531"/>
      <c r="R58" s="531"/>
      <c r="U58" s="531"/>
      <c r="Y58" s="531"/>
      <c r="AC58" s="531"/>
      <c r="AF58" s="531"/>
      <c r="AH58" s="531"/>
      <c r="AJ58" s="531"/>
      <c r="AO58" s="533"/>
    </row>
    <row r="59" ht="15.75" customHeight="1">
      <c r="A59" s="505"/>
      <c r="B59" s="526"/>
      <c r="H59" s="527"/>
      <c r="J59" s="527"/>
      <c r="M59" s="527"/>
      <c r="R59" s="527"/>
      <c r="U59" s="527"/>
      <c r="Y59" s="527"/>
      <c r="AC59" s="527"/>
      <c r="AF59" s="527"/>
      <c r="AH59" s="527"/>
      <c r="AJ59" s="527"/>
      <c r="AO59" s="529"/>
    </row>
    <row r="60" ht="15.75" customHeight="1">
      <c r="A60" s="505"/>
      <c r="B60" s="530"/>
      <c r="H60" s="531"/>
      <c r="J60" s="531"/>
      <c r="M60" s="531"/>
      <c r="R60" s="531"/>
      <c r="U60" s="531"/>
      <c r="Y60" s="531"/>
      <c r="AC60" s="531"/>
      <c r="AF60" s="531"/>
      <c r="AH60" s="531"/>
      <c r="AJ60" s="531"/>
      <c r="AO60" s="533"/>
    </row>
    <row r="61" ht="15.75" customHeight="1">
      <c r="A61" s="505"/>
      <c r="B61" s="526"/>
      <c r="H61" s="527"/>
      <c r="J61" s="527"/>
      <c r="M61" s="527"/>
      <c r="R61" s="527"/>
      <c r="U61" s="527"/>
      <c r="Y61" s="527"/>
      <c r="AC61" s="527"/>
      <c r="AF61" s="527"/>
      <c r="AH61" s="527"/>
      <c r="AJ61" s="527"/>
      <c r="AO61" s="529"/>
    </row>
    <row r="62" ht="15.75" customHeight="1">
      <c r="A62" s="505"/>
      <c r="B62" s="530"/>
      <c r="H62" s="531"/>
      <c r="J62" s="531"/>
      <c r="M62" s="531"/>
      <c r="R62" s="531"/>
      <c r="U62" s="531"/>
      <c r="Y62" s="531"/>
      <c r="AC62" s="531"/>
      <c r="AF62" s="531"/>
      <c r="AH62" s="531"/>
      <c r="AJ62" s="531"/>
      <c r="AO62" s="533"/>
    </row>
    <row r="63" ht="15.75" customHeight="1">
      <c r="A63" s="505"/>
      <c r="B63" s="526"/>
      <c r="H63" s="527"/>
      <c r="J63" s="527"/>
      <c r="M63" s="527"/>
      <c r="R63" s="527"/>
      <c r="U63" s="527"/>
      <c r="Y63" s="527"/>
      <c r="AC63" s="527"/>
      <c r="AF63" s="527"/>
      <c r="AH63" s="527"/>
      <c r="AJ63" s="527"/>
      <c r="AO63" s="529"/>
    </row>
    <row r="64" ht="15.75" customHeight="1">
      <c r="A64" s="505"/>
      <c r="B64" s="530"/>
      <c r="H64" s="531"/>
      <c r="J64" s="531"/>
      <c r="M64" s="531"/>
      <c r="R64" s="531"/>
      <c r="U64" s="531"/>
      <c r="Y64" s="531"/>
      <c r="AC64" s="531"/>
      <c r="AF64" s="531"/>
      <c r="AH64" s="531"/>
      <c r="AJ64" s="531"/>
      <c r="AO64" s="533"/>
    </row>
    <row r="65" ht="15.75" customHeight="1">
      <c r="A65" s="505"/>
      <c r="B65" s="526"/>
      <c r="H65" s="527"/>
      <c r="J65" s="527"/>
      <c r="M65" s="527"/>
      <c r="R65" s="527"/>
      <c r="U65" s="527"/>
      <c r="Y65" s="527"/>
      <c r="AC65" s="527"/>
      <c r="AF65" s="527"/>
      <c r="AH65" s="527"/>
      <c r="AJ65" s="527"/>
      <c r="AO65" s="529"/>
    </row>
    <row r="66" ht="15.75" customHeight="1">
      <c r="A66" s="505"/>
      <c r="B66" s="530"/>
      <c r="H66" s="531"/>
      <c r="J66" s="531"/>
      <c r="M66" s="531"/>
      <c r="R66" s="531"/>
      <c r="U66" s="531"/>
      <c r="Y66" s="531"/>
      <c r="AC66" s="531"/>
      <c r="AF66" s="531"/>
      <c r="AH66" s="531"/>
      <c r="AJ66" s="531"/>
      <c r="AO66" s="533"/>
    </row>
    <row r="67" ht="15.75" customHeight="1">
      <c r="A67" s="505"/>
      <c r="B67" s="526"/>
      <c r="H67" s="527"/>
      <c r="J67" s="527"/>
      <c r="M67" s="527"/>
      <c r="R67" s="527"/>
      <c r="U67" s="527"/>
      <c r="Y67" s="527"/>
      <c r="AC67" s="527"/>
      <c r="AF67" s="527"/>
      <c r="AH67" s="527"/>
      <c r="AJ67" s="527"/>
      <c r="AO67" s="529"/>
    </row>
    <row r="68" ht="15.75" customHeight="1">
      <c r="A68" s="505"/>
      <c r="B68" s="530"/>
      <c r="H68" s="531"/>
      <c r="J68" s="531"/>
      <c r="M68" s="531"/>
      <c r="R68" s="531"/>
      <c r="U68" s="531"/>
      <c r="Y68" s="531"/>
      <c r="AC68" s="531"/>
      <c r="AF68" s="531"/>
      <c r="AH68" s="531"/>
      <c r="AJ68" s="531"/>
      <c r="AO68" s="533"/>
    </row>
    <row r="69" ht="15.75" customHeight="1">
      <c r="A69" s="505"/>
      <c r="B69" s="526"/>
      <c r="H69" s="527"/>
      <c r="J69" s="527"/>
      <c r="M69" s="527"/>
      <c r="R69" s="527"/>
      <c r="U69" s="527"/>
      <c r="Y69" s="527"/>
      <c r="AC69" s="527"/>
      <c r="AF69" s="527"/>
      <c r="AH69" s="527"/>
      <c r="AJ69" s="527"/>
      <c r="AO69" s="529"/>
    </row>
    <row r="70" ht="15.75" customHeight="1">
      <c r="A70" s="505"/>
      <c r="B70" s="530"/>
      <c r="H70" s="531"/>
      <c r="J70" s="531"/>
      <c r="M70" s="531"/>
      <c r="R70" s="531"/>
      <c r="U70" s="531"/>
      <c r="Y70" s="531"/>
      <c r="AC70" s="531"/>
      <c r="AF70" s="531"/>
      <c r="AH70" s="531"/>
      <c r="AJ70" s="531"/>
      <c r="AO70" s="533"/>
    </row>
    <row r="71" ht="15.75" customHeight="1">
      <c r="A71" s="505"/>
      <c r="B71" s="526"/>
      <c r="H71" s="527"/>
      <c r="J71" s="527"/>
      <c r="M71" s="527"/>
      <c r="R71" s="527"/>
      <c r="U71" s="527"/>
      <c r="Y71" s="527"/>
      <c r="AC71" s="527"/>
      <c r="AF71" s="527"/>
      <c r="AH71" s="527"/>
      <c r="AJ71" s="527"/>
      <c r="AO71" s="529"/>
    </row>
    <row r="72" ht="15.75" customHeight="1">
      <c r="A72" s="505"/>
      <c r="B72" s="530"/>
      <c r="H72" s="531"/>
      <c r="J72" s="531"/>
      <c r="M72" s="531"/>
      <c r="R72" s="531"/>
      <c r="U72" s="531"/>
      <c r="Y72" s="531"/>
      <c r="AC72" s="531"/>
      <c r="AF72" s="531"/>
      <c r="AH72" s="531"/>
      <c r="AJ72" s="531"/>
      <c r="AO72" s="533"/>
    </row>
    <row r="73" ht="15.75" customHeight="1">
      <c r="A73" s="505"/>
      <c r="B73" s="526"/>
      <c r="H73" s="527"/>
      <c r="J73" s="527"/>
      <c r="M73" s="527"/>
      <c r="R73" s="527"/>
      <c r="U73" s="527"/>
      <c r="Y73" s="527"/>
      <c r="AC73" s="527"/>
      <c r="AF73" s="527"/>
      <c r="AH73" s="527"/>
      <c r="AJ73" s="527"/>
      <c r="AO73" s="529"/>
    </row>
    <row r="74" ht="15.75" customHeight="1">
      <c r="A74" s="505"/>
      <c r="B74" s="530"/>
      <c r="H74" s="531"/>
      <c r="J74" s="531"/>
      <c r="M74" s="531"/>
      <c r="R74" s="531"/>
      <c r="U74" s="531"/>
      <c r="Y74" s="531"/>
      <c r="AC74" s="531"/>
      <c r="AF74" s="531"/>
      <c r="AH74" s="531"/>
      <c r="AJ74" s="531"/>
      <c r="AO74" s="533"/>
    </row>
    <row r="75" ht="15.75" customHeight="1">
      <c r="A75" s="505"/>
      <c r="B75" s="526"/>
      <c r="H75" s="527"/>
      <c r="J75" s="527"/>
      <c r="M75" s="527"/>
      <c r="R75" s="527"/>
      <c r="U75" s="527"/>
      <c r="Y75" s="527"/>
      <c r="AC75" s="527"/>
      <c r="AF75" s="527"/>
      <c r="AH75" s="527"/>
      <c r="AJ75" s="527"/>
      <c r="AO75" s="529"/>
    </row>
    <row r="76" ht="15.75" customHeight="1">
      <c r="A76" s="505"/>
      <c r="B76" s="530"/>
      <c r="H76" s="531"/>
      <c r="J76" s="531"/>
      <c r="M76" s="531"/>
      <c r="R76" s="531"/>
      <c r="U76" s="531"/>
      <c r="Y76" s="531"/>
      <c r="AC76" s="531"/>
      <c r="AF76" s="531"/>
      <c r="AH76" s="531"/>
      <c r="AJ76" s="531"/>
      <c r="AO76" s="533"/>
    </row>
    <row r="77" ht="15.75" customHeight="1">
      <c r="A77" s="505"/>
      <c r="B77" s="526"/>
      <c r="H77" s="527"/>
      <c r="J77" s="527"/>
      <c r="M77" s="527"/>
      <c r="R77" s="527"/>
      <c r="U77" s="527"/>
      <c r="Y77" s="527"/>
      <c r="AC77" s="527"/>
      <c r="AF77" s="527"/>
      <c r="AH77" s="527"/>
      <c r="AJ77" s="527"/>
      <c r="AO77" s="529"/>
    </row>
    <row r="78" ht="15.75" customHeight="1">
      <c r="A78" s="505"/>
      <c r="B78" s="530"/>
      <c r="H78" s="531"/>
      <c r="J78" s="531"/>
      <c r="M78" s="531"/>
      <c r="R78" s="531"/>
      <c r="U78" s="531"/>
      <c r="Y78" s="531"/>
      <c r="AC78" s="531"/>
      <c r="AF78" s="531"/>
      <c r="AH78" s="531"/>
      <c r="AJ78" s="531"/>
      <c r="AO78" s="533"/>
    </row>
    <row r="79" ht="15.75" customHeight="1">
      <c r="A79" s="505"/>
      <c r="B79" s="526"/>
      <c r="H79" s="527"/>
      <c r="J79" s="527"/>
      <c r="M79" s="527"/>
      <c r="R79" s="527"/>
      <c r="U79" s="527"/>
      <c r="Y79" s="527"/>
      <c r="AC79" s="527"/>
      <c r="AF79" s="527"/>
      <c r="AH79" s="527"/>
      <c r="AJ79" s="527"/>
      <c r="AO79" s="529"/>
    </row>
    <row r="80" ht="15.75" customHeight="1">
      <c r="A80" s="505"/>
      <c r="B80" s="530"/>
      <c r="H80" s="531"/>
      <c r="J80" s="531"/>
      <c r="M80" s="531"/>
      <c r="R80" s="531"/>
      <c r="U80" s="531"/>
      <c r="Y80" s="531"/>
      <c r="AC80" s="531"/>
      <c r="AF80" s="531"/>
      <c r="AH80" s="531"/>
      <c r="AJ80" s="531"/>
      <c r="AO80" s="533"/>
    </row>
    <row r="81" ht="15.75" customHeight="1">
      <c r="A81" s="505"/>
      <c r="B81" s="526"/>
      <c r="H81" s="527"/>
      <c r="J81" s="527"/>
      <c r="M81" s="527"/>
      <c r="R81" s="527"/>
      <c r="U81" s="527"/>
      <c r="Y81" s="527"/>
      <c r="AC81" s="527"/>
      <c r="AF81" s="527"/>
      <c r="AH81" s="527"/>
      <c r="AJ81" s="527"/>
      <c r="AO81" s="529"/>
    </row>
    <row r="82" ht="15.75" customHeight="1">
      <c r="A82" s="505"/>
      <c r="B82" s="530"/>
      <c r="H82" s="531"/>
      <c r="J82" s="531"/>
      <c r="M82" s="531"/>
      <c r="R82" s="531"/>
      <c r="U82" s="531"/>
      <c r="Y82" s="531"/>
      <c r="AC82" s="531"/>
      <c r="AF82" s="531"/>
      <c r="AH82" s="531"/>
      <c r="AJ82" s="531"/>
      <c r="AO82" s="533"/>
    </row>
    <row r="83" ht="15.75" customHeight="1">
      <c r="A83" s="505"/>
      <c r="B83" s="526"/>
      <c r="H83" s="527"/>
      <c r="J83" s="527"/>
      <c r="M83" s="527"/>
      <c r="R83" s="527"/>
      <c r="U83" s="527"/>
      <c r="Y83" s="527"/>
      <c r="AC83" s="527"/>
      <c r="AF83" s="527"/>
      <c r="AH83" s="527"/>
      <c r="AJ83" s="527"/>
      <c r="AO83" s="529"/>
    </row>
    <row r="84" ht="15.75" customHeight="1">
      <c r="A84" s="505"/>
      <c r="B84" s="530"/>
      <c r="H84" s="531"/>
      <c r="J84" s="531"/>
      <c r="M84" s="531"/>
      <c r="R84" s="531"/>
      <c r="U84" s="531"/>
      <c r="Y84" s="531"/>
      <c r="AC84" s="531"/>
      <c r="AF84" s="531"/>
      <c r="AH84" s="531"/>
      <c r="AJ84" s="531"/>
      <c r="AO84" s="533"/>
    </row>
    <row r="85" ht="15.75" customHeight="1">
      <c r="A85" s="505"/>
      <c r="B85" s="526"/>
      <c r="H85" s="527"/>
      <c r="J85" s="527"/>
      <c r="M85" s="527"/>
      <c r="R85" s="527"/>
      <c r="U85" s="527"/>
      <c r="Y85" s="527"/>
      <c r="AC85" s="527"/>
      <c r="AF85" s="527"/>
      <c r="AH85" s="527"/>
      <c r="AJ85" s="527"/>
      <c r="AO85" s="529"/>
    </row>
    <row r="86" ht="15.75" customHeight="1">
      <c r="A86" s="505"/>
      <c r="B86" s="530"/>
      <c r="H86" s="531"/>
      <c r="J86" s="531"/>
      <c r="M86" s="531"/>
      <c r="R86" s="531"/>
      <c r="U86" s="531"/>
      <c r="Y86" s="531"/>
      <c r="AC86" s="531"/>
      <c r="AF86" s="531"/>
      <c r="AH86" s="531"/>
      <c r="AJ86" s="531"/>
      <c r="AO86" s="533"/>
    </row>
    <row r="87" ht="15.75" customHeight="1">
      <c r="A87" s="505"/>
      <c r="B87" s="526"/>
      <c r="H87" s="527"/>
      <c r="J87" s="527"/>
      <c r="M87" s="527"/>
      <c r="R87" s="527"/>
      <c r="U87" s="527"/>
      <c r="Y87" s="527"/>
      <c r="AC87" s="527"/>
      <c r="AF87" s="527"/>
      <c r="AH87" s="527"/>
      <c r="AJ87" s="527"/>
      <c r="AO87" s="529"/>
    </row>
    <row r="88" ht="15.75" customHeight="1">
      <c r="A88" s="505"/>
      <c r="B88" s="530"/>
      <c r="H88" s="531"/>
      <c r="J88" s="531"/>
      <c r="M88" s="531"/>
      <c r="R88" s="531"/>
      <c r="U88" s="531"/>
      <c r="Y88" s="531"/>
      <c r="AC88" s="531"/>
      <c r="AF88" s="531"/>
      <c r="AH88" s="531"/>
      <c r="AJ88" s="531"/>
      <c r="AO88" s="533"/>
    </row>
    <row r="89" ht="15.75" customHeight="1">
      <c r="A89" s="505"/>
      <c r="B89" s="526"/>
      <c r="H89" s="527"/>
      <c r="J89" s="527"/>
      <c r="M89" s="527"/>
      <c r="R89" s="527"/>
      <c r="U89" s="527"/>
      <c r="Y89" s="527"/>
      <c r="AC89" s="527"/>
      <c r="AF89" s="527"/>
      <c r="AH89" s="527"/>
      <c r="AJ89" s="527"/>
      <c r="AO89" s="529"/>
    </row>
    <row r="90" ht="15.75" customHeight="1">
      <c r="A90" s="505"/>
      <c r="B90" s="530"/>
      <c r="H90" s="531"/>
      <c r="J90" s="531"/>
      <c r="M90" s="531"/>
      <c r="R90" s="531"/>
      <c r="U90" s="531"/>
      <c r="Y90" s="531"/>
      <c r="AC90" s="531"/>
      <c r="AF90" s="531"/>
      <c r="AH90" s="531"/>
      <c r="AJ90" s="531"/>
      <c r="AO90" s="533"/>
    </row>
    <row r="91" ht="15.75" customHeight="1">
      <c r="A91" s="505"/>
      <c r="B91" s="526"/>
      <c r="H91" s="527"/>
      <c r="J91" s="527"/>
      <c r="M91" s="527"/>
      <c r="R91" s="527"/>
      <c r="U91" s="527"/>
      <c r="Y91" s="527"/>
      <c r="AC91" s="527"/>
      <c r="AF91" s="527"/>
      <c r="AH91" s="527"/>
      <c r="AJ91" s="527"/>
      <c r="AO91" s="529"/>
    </row>
    <row r="92" ht="15.75" customHeight="1">
      <c r="A92" s="505"/>
      <c r="B92" s="530"/>
      <c r="H92" s="531"/>
      <c r="J92" s="531"/>
      <c r="M92" s="531"/>
      <c r="R92" s="531"/>
      <c r="U92" s="531"/>
      <c r="Y92" s="531"/>
      <c r="AC92" s="531"/>
      <c r="AF92" s="531"/>
      <c r="AH92" s="531"/>
      <c r="AJ92" s="531"/>
      <c r="AO92" s="533"/>
    </row>
    <row r="93" ht="15.75" customHeight="1">
      <c r="A93" s="505"/>
      <c r="B93" s="526"/>
      <c r="H93" s="527"/>
      <c r="J93" s="527"/>
      <c r="M93" s="527"/>
      <c r="R93" s="527"/>
      <c r="U93" s="527"/>
      <c r="Y93" s="527"/>
      <c r="AC93" s="527"/>
      <c r="AF93" s="527"/>
      <c r="AH93" s="527"/>
      <c r="AJ93" s="527"/>
      <c r="AO93" s="529"/>
    </row>
    <row r="94" ht="15.75" customHeight="1">
      <c r="A94" s="505"/>
      <c r="B94" s="530"/>
      <c r="H94" s="531"/>
      <c r="J94" s="531"/>
      <c r="M94" s="531"/>
      <c r="R94" s="531"/>
      <c r="U94" s="531"/>
      <c r="Y94" s="531"/>
      <c r="AC94" s="531"/>
      <c r="AF94" s="531"/>
      <c r="AH94" s="531"/>
      <c r="AJ94" s="531"/>
      <c r="AO94" s="533"/>
    </row>
    <row r="95" ht="15.75" customHeight="1">
      <c r="A95" s="505"/>
      <c r="B95" s="526"/>
      <c r="H95" s="527"/>
      <c r="J95" s="527"/>
      <c r="M95" s="527"/>
      <c r="R95" s="527"/>
      <c r="U95" s="527"/>
      <c r="Y95" s="527"/>
      <c r="AC95" s="527"/>
      <c r="AF95" s="527"/>
      <c r="AH95" s="527"/>
      <c r="AJ95" s="527"/>
      <c r="AO95" s="529"/>
    </row>
    <row r="96" ht="15.75" customHeight="1">
      <c r="A96" s="505"/>
      <c r="B96" s="530"/>
      <c r="H96" s="531"/>
      <c r="J96" s="531"/>
      <c r="M96" s="531"/>
      <c r="R96" s="531"/>
      <c r="U96" s="531"/>
      <c r="Y96" s="531"/>
      <c r="AC96" s="531"/>
      <c r="AF96" s="531"/>
      <c r="AH96" s="531"/>
      <c r="AJ96" s="531"/>
      <c r="AO96" s="533"/>
    </row>
    <row r="97" ht="15.75" customHeight="1">
      <c r="A97" s="505"/>
      <c r="B97" s="526"/>
      <c r="H97" s="527"/>
      <c r="J97" s="527"/>
      <c r="M97" s="527"/>
      <c r="R97" s="527"/>
      <c r="U97" s="527"/>
      <c r="Y97" s="527"/>
      <c r="AC97" s="527"/>
      <c r="AF97" s="527"/>
      <c r="AH97" s="527"/>
      <c r="AJ97" s="527"/>
      <c r="AO97" s="529"/>
    </row>
    <row r="98" ht="15.75" customHeight="1">
      <c r="A98" s="505"/>
      <c r="B98" s="530"/>
      <c r="H98" s="531"/>
      <c r="J98" s="531"/>
      <c r="M98" s="531"/>
      <c r="R98" s="531"/>
      <c r="U98" s="531"/>
      <c r="Y98" s="531"/>
      <c r="AC98" s="531"/>
      <c r="AF98" s="531"/>
      <c r="AH98" s="531"/>
      <c r="AJ98" s="531"/>
      <c r="AO98" s="533"/>
    </row>
    <row r="99" ht="15.75" customHeight="1">
      <c r="A99" s="505"/>
      <c r="B99" s="526"/>
      <c r="H99" s="527"/>
      <c r="J99" s="527"/>
      <c r="M99" s="527"/>
      <c r="R99" s="527"/>
      <c r="U99" s="527"/>
      <c r="Y99" s="527"/>
      <c r="AC99" s="527"/>
      <c r="AF99" s="527"/>
      <c r="AH99" s="527"/>
      <c r="AJ99" s="527"/>
      <c r="AO99" s="529"/>
    </row>
    <row r="100" ht="15.75" customHeight="1">
      <c r="A100" s="505"/>
      <c r="B100" s="530"/>
      <c r="H100" s="531"/>
      <c r="J100" s="531"/>
      <c r="M100" s="531"/>
      <c r="R100" s="531"/>
      <c r="U100" s="531"/>
      <c r="Y100" s="531"/>
      <c r="AC100" s="531"/>
      <c r="AF100" s="531"/>
      <c r="AH100" s="531"/>
      <c r="AJ100" s="531"/>
      <c r="AO100" s="533"/>
    </row>
    <row r="101" ht="15.75" customHeight="1">
      <c r="A101" s="505"/>
      <c r="B101" s="526"/>
      <c r="H101" s="527"/>
      <c r="J101" s="527"/>
      <c r="M101" s="527"/>
      <c r="R101" s="527"/>
      <c r="U101" s="527"/>
      <c r="Y101" s="527"/>
      <c r="AC101" s="527"/>
      <c r="AF101" s="527"/>
      <c r="AH101" s="527"/>
      <c r="AJ101" s="527"/>
      <c r="AO101" s="529"/>
    </row>
    <row r="102" ht="15.75" customHeight="1">
      <c r="A102" s="505"/>
      <c r="B102" s="530"/>
      <c r="H102" s="531"/>
      <c r="J102" s="531"/>
      <c r="M102" s="531"/>
      <c r="R102" s="531"/>
      <c r="U102" s="531"/>
      <c r="Y102" s="531"/>
      <c r="AC102" s="531"/>
      <c r="AF102" s="531"/>
      <c r="AH102" s="531"/>
      <c r="AJ102" s="531"/>
      <c r="AO102" s="533"/>
    </row>
    <row r="103" ht="15.75" customHeight="1">
      <c r="A103" s="505"/>
      <c r="B103" s="526"/>
      <c r="H103" s="527"/>
      <c r="J103" s="527"/>
      <c r="M103" s="527"/>
      <c r="R103" s="527"/>
      <c r="U103" s="527"/>
      <c r="Y103" s="527"/>
      <c r="AC103" s="527"/>
      <c r="AF103" s="527"/>
      <c r="AH103" s="527"/>
      <c r="AJ103" s="527"/>
      <c r="AO103" s="529"/>
    </row>
    <row r="104" ht="15.75" customHeight="1">
      <c r="A104" s="505"/>
      <c r="B104" s="530"/>
      <c r="H104" s="531"/>
      <c r="J104" s="531"/>
      <c r="M104" s="531"/>
      <c r="R104" s="531"/>
      <c r="U104" s="531"/>
      <c r="Y104" s="531"/>
      <c r="AC104" s="531"/>
      <c r="AF104" s="531"/>
      <c r="AH104" s="531"/>
      <c r="AJ104" s="531"/>
      <c r="AO104" s="533"/>
    </row>
    <row r="105" ht="15.75" customHeight="1">
      <c r="A105" s="505"/>
      <c r="B105" s="526"/>
      <c r="H105" s="527"/>
      <c r="J105" s="527"/>
      <c r="M105" s="527"/>
      <c r="R105" s="527"/>
      <c r="U105" s="527"/>
      <c r="Y105" s="527"/>
      <c r="AC105" s="527"/>
      <c r="AF105" s="527"/>
      <c r="AH105" s="527"/>
      <c r="AJ105" s="527"/>
      <c r="AO105" s="529"/>
    </row>
    <row r="106" ht="15.75" customHeight="1">
      <c r="A106" s="505"/>
      <c r="B106" s="530"/>
      <c r="H106" s="531"/>
      <c r="J106" s="531"/>
      <c r="M106" s="531"/>
      <c r="R106" s="531"/>
      <c r="U106" s="531"/>
      <c r="Y106" s="531"/>
      <c r="AC106" s="531"/>
      <c r="AF106" s="531"/>
      <c r="AH106" s="531"/>
      <c r="AJ106" s="531"/>
      <c r="AO106" s="533"/>
    </row>
    <row r="107" ht="15.75" customHeight="1">
      <c r="A107" s="505"/>
      <c r="B107" s="526"/>
      <c r="H107" s="527"/>
      <c r="J107" s="527"/>
      <c r="M107" s="527"/>
      <c r="R107" s="527"/>
      <c r="U107" s="527"/>
      <c r="Y107" s="527"/>
      <c r="AC107" s="527"/>
      <c r="AF107" s="527"/>
      <c r="AH107" s="527"/>
      <c r="AJ107" s="527"/>
      <c r="AO107" s="529"/>
    </row>
    <row r="108" ht="15.75" customHeight="1">
      <c r="A108" s="505"/>
      <c r="B108" s="530"/>
      <c r="H108" s="531"/>
      <c r="J108" s="531"/>
      <c r="M108" s="531"/>
      <c r="R108" s="531"/>
      <c r="U108" s="531"/>
      <c r="Y108" s="531"/>
      <c r="AC108" s="531"/>
      <c r="AF108" s="531"/>
      <c r="AH108" s="531"/>
      <c r="AJ108" s="531"/>
      <c r="AO108" s="533"/>
    </row>
    <row r="109" ht="15.75" customHeight="1">
      <c r="A109" s="505"/>
      <c r="B109" s="526"/>
      <c r="H109" s="527"/>
      <c r="J109" s="527"/>
      <c r="M109" s="527"/>
      <c r="R109" s="527"/>
      <c r="U109" s="527"/>
      <c r="Y109" s="527"/>
      <c r="AC109" s="527"/>
      <c r="AF109" s="527"/>
      <c r="AH109" s="527"/>
      <c r="AJ109" s="527"/>
      <c r="AO109" s="529"/>
    </row>
    <row r="110" ht="15.75" customHeight="1">
      <c r="A110" s="505"/>
      <c r="B110" s="530"/>
      <c r="H110" s="531"/>
      <c r="J110" s="531"/>
      <c r="M110" s="531"/>
      <c r="R110" s="531"/>
      <c r="U110" s="531"/>
      <c r="Y110" s="531"/>
      <c r="AC110" s="531"/>
      <c r="AF110" s="531"/>
      <c r="AH110" s="531"/>
      <c r="AJ110" s="531"/>
      <c r="AO110" s="533"/>
    </row>
    <row r="111" ht="15.75" customHeight="1">
      <c r="A111" s="505"/>
      <c r="B111" s="526"/>
      <c r="H111" s="527"/>
      <c r="J111" s="527"/>
      <c r="M111" s="527"/>
      <c r="R111" s="527"/>
      <c r="U111" s="527"/>
      <c r="Y111" s="527"/>
      <c r="AC111" s="527"/>
      <c r="AF111" s="527"/>
      <c r="AH111" s="527"/>
      <c r="AJ111" s="527"/>
      <c r="AO111" s="529"/>
    </row>
    <row r="112" ht="15.75" customHeight="1">
      <c r="A112" s="505"/>
      <c r="B112" s="530"/>
      <c r="H112" s="531"/>
      <c r="J112" s="531"/>
      <c r="M112" s="531"/>
      <c r="R112" s="531"/>
      <c r="U112" s="531"/>
      <c r="Y112" s="531"/>
      <c r="AC112" s="531"/>
      <c r="AF112" s="531"/>
      <c r="AH112" s="531"/>
      <c r="AJ112" s="531"/>
      <c r="AO112" s="533"/>
    </row>
    <row r="113" ht="15.75" customHeight="1">
      <c r="A113" s="505"/>
      <c r="B113" s="526"/>
      <c r="H113" s="527"/>
      <c r="J113" s="527"/>
      <c r="M113" s="527"/>
      <c r="R113" s="527"/>
      <c r="U113" s="527"/>
      <c r="Y113" s="527"/>
      <c r="AC113" s="527"/>
      <c r="AF113" s="527"/>
      <c r="AH113" s="527"/>
      <c r="AJ113" s="527"/>
      <c r="AO113" s="529"/>
    </row>
    <row r="114" ht="15.75" customHeight="1">
      <c r="A114" s="505"/>
      <c r="B114" s="530"/>
      <c r="H114" s="531"/>
      <c r="J114" s="531"/>
      <c r="M114" s="531"/>
      <c r="R114" s="531"/>
      <c r="U114" s="531"/>
      <c r="Y114" s="531"/>
      <c r="AC114" s="531"/>
      <c r="AF114" s="531"/>
      <c r="AH114" s="531"/>
      <c r="AJ114" s="531"/>
      <c r="AO114" s="533"/>
    </row>
    <row r="115" ht="15.75" customHeight="1">
      <c r="A115" s="505"/>
      <c r="B115" s="526"/>
      <c r="H115" s="527"/>
      <c r="J115" s="527"/>
      <c r="M115" s="527"/>
      <c r="R115" s="527"/>
      <c r="U115" s="527"/>
      <c r="Y115" s="527"/>
      <c r="AC115" s="527"/>
      <c r="AF115" s="527"/>
      <c r="AH115" s="527"/>
      <c r="AJ115" s="527"/>
      <c r="AO115" s="529"/>
    </row>
    <row r="116" ht="15.75" customHeight="1">
      <c r="A116" s="505"/>
      <c r="B116" s="530"/>
      <c r="H116" s="531"/>
      <c r="J116" s="531"/>
      <c r="M116" s="531"/>
      <c r="R116" s="531"/>
      <c r="U116" s="531"/>
      <c r="Y116" s="531"/>
      <c r="AC116" s="531"/>
      <c r="AF116" s="531"/>
      <c r="AH116" s="531"/>
      <c r="AJ116" s="531"/>
      <c r="AO116" s="533"/>
    </row>
    <row r="117" ht="15.75" customHeight="1">
      <c r="A117" s="505"/>
      <c r="B117" s="526"/>
      <c r="H117" s="527"/>
      <c r="J117" s="527"/>
      <c r="M117" s="527"/>
      <c r="R117" s="527"/>
      <c r="U117" s="527"/>
      <c r="Y117" s="527"/>
      <c r="AC117" s="527"/>
      <c r="AF117" s="527"/>
      <c r="AH117" s="527"/>
      <c r="AJ117" s="527"/>
      <c r="AO117" s="529"/>
    </row>
    <row r="118" ht="15.75" customHeight="1">
      <c r="A118" s="505"/>
      <c r="B118" s="530"/>
      <c r="H118" s="531"/>
      <c r="J118" s="531"/>
      <c r="M118" s="531"/>
      <c r="R118" s="531"/>
      <c r="U118" s="531"/>
      <c r="Y118" s="531"/>
      <c r="AC118" s="531"/>
      <c r="AF118" s="531"/>
      <c r="AH118" s="531"/>
      <c r="AJ118" s="531"/>
      <c r="AO118" s="533"/>
    </row>
    <row r="119" ht="15.75" customHeight="1">
      <c r="A119" s="505"/>
      <c r="B119" s="526"/>
      <c r="H119" s="527"/>
      <c r="J119" s="527"/>
      <c r="M119" s="527"/>
      <c r="R119" s="527"/>
      <c r="U119" s="527"/>
      <c r="Y119" s="527"/>
      <c r="AC119" s="527"/>
      <c r="AF119" s="527"/>
      <c r="AH119" s="527"/>
      <c r="AJ119" s="527"/>
      <c r="AO119" s="529"/>
    </row>
    <row r="120" ht="15.75" customHeight="1">
      <c r="A120" s="505"/>
      <c r="B120" s="530"/>
      <c r="H120" s="531"/>
      <c r="J120" s="531"/>
      <c r="M120" s="531"/>
      <c r="R120" s="531"/>
      <c r="U120" s="531"/>
      <c r="Y120" s="531"/>
      <c r="AC120" s="531"/>
      <c r="AF120" s="531"/>
      <c r="AH120" s="531"/>
      <c r="AJ120" s="531"/>
      <c r="AO120" s="533"/>
    </row>
    <row r="121" ht="15.75" customHeight="1">
      <c r="A121" s="505"/>
      <c r="B121" s="526"/>
      <c r="H121" s="527"/>
      <c r="J121" s="527"/>
      <c r="M121" s="527"/>
      <c r="R121" s="527"/>
      <c r="U121" s="527"/>
      <c r="Y121" s="527"/>
      <c r="AC121" s="527"/>
      <c r="AF121" s="527"/>
      <c r="AH121" s="527"/>
      <c r="AJ121" s="527"/>
      <c r="AO121" s="529"/>
    </row>
    <row r="122" ht="15.75" customHeight="1">
      <c r="A122" s="505"/>
      <c r="B122" s="530"/>
      <c r="H122" s="531"/>
      <c r="J122" s="531"/>
      <c r="M122" s="531"/>
      <c r="R122" s="531"/>
      <c r="U122" s="531"/>
      <c r="Y122" s="531"/>
      <c r="AC122" s="531"/>
      <c r="AF122" s="531"/>
      <c r="AH122" s="531"/>
      <c r="AJ122" s="531"/>
      <c r="AO122" s="533"/>
    </row>
    <row r="123" ht="15.75" customHeight="1">
      <c r="A123" s="505"/>
      <c r="B123" s="526"/>
      <c r="H123" s="527"/>
      <c r="J123" s="527"/>
      <c r="M123" s="527"/>
      <c r="R123" s="527"/>
      <c r="U123" s="527"/>
      <c r="Y123" s="527"/>
      <c r="AC123" s="527"/>
      <c r="AF123" s="527"/>
      <c r="AH123" s="527"/>
      <c r="AJ123" s="527"/>
      <c r="AO123" s="529"/>
    </row>
    <row r="124" ht="15.75" customHeight="1">
      <c r="A124" s="505"/>
      <c r="B124" s="530"/>
      <c r="H124" s="531"/>
      <c r="J124" s="531"/>
      <c r="M124" s="531"/>
      <c r="R124" s="531"/>
      <c r="U124" s="531"/>
      <c r="Y124" s="531"/>
      <c r="AC124" s="531"/>
      <c r="AF124" s="531"/>
      <c r="AH124" s="531"/>
      <c r="AJ124" s="531"/>
      <c r="AO124" s="533"/>
    </row>
    <row r="125" ht="15.75" customHeight="1">
      <c r="A125" s="505"/>
      <c r="B125" s="526"/>
      <c r="H125" s="527"/>
      <c r="J125" s="527"/>
      <c r="M125" s="527"/>
      <c r="R125" s="527"/>
      <c r="U125" s="527"/>
      <c r="Y125" s="527"/>
      <c r="AC125" s="527"/>
      <c r="AF125" s="527"/>
      <c r="AH125" s="527"/>
      <c r="AJ125" s="527"/>
      <c r="AO125" s="529"/>
    </row>
    <row r="126" ht="15.75" customHeight="1">
      <c r="A126" s="505"/>
      <c r="B126" s="530"/>
      <c r="H126" s="531"/>
      <c r="J126" s="531"/>
      <c r="M126" s="531"/>
      <c r="R126" s="531"/>
      <c r="U126" s="531"/>
      <c r="Y126" s="531"/>
      <c r="AC126" s="531"/>
      <c r="AF126" s="531"/>
      <c r="AH126" s="531"/>
      <c r="AJ126" s="531"/>
      <c r="AO126" s="533"/>
    </row>
    <row r="127" ht="15.75" customHeight="1">
      <c r="A127" s="505"/>
      <c r="B127" s="526"/>
      <c r="H127" s="527"/>
      <c r="J127" s="527"/>
      <c r="M127" s="527"/>
      <c r="R127" s="527"/>
      <c r="U127" s="527"/>
      <c r="Y127" s="527"/>
      <c r="AC127" s="527"/>
      <c r="AF127" s="527"/>
      <c r="AH127" s="527"/>
      <c r="AJ127" s="527"/>
      <c r="AO127" s="529"/>
    </row>
    <row r="128" ht="15.75" customHeight="1">
      <c r="A128" s="505"/>
      <c r="B128" s="530"/>
      <c r="H128" s="531"/>
      <c r="J128" s="531"/>
      <c r="M128" s="531"/>
      <c r="R128" s="531"/>
      <c r="U128" s="531"/>
      <c r="Y128" s="531"/>
      <c r="AC128" s="531"/>
      <c r="AF128" s="531"/>
      <c r="AH128" s="531"/>
      <c r="AJ128" s="531"/>
      <c r="AO128" s="533"/>
    </row>
    <row r="129" ht="15.75" customHeight="1">
      <c r="A129" s="505"/>
      <c r="B129" s="526"/>
      <c r="H129" s="527"/>
      <c r="J129" s="527"/>
      <c r="M129" s="527"/>
      <c r="R129" s="527"/>
      <c r="U129" s="527"/>
      <c r="Y129" s="527"/>
      <c r="AC129" s="527"/>
      <c r="AF129" s="527"/>
      <c r="AH129" s="527"/>
      <c r="AJ129" s="527"/>
      <c r="AO129" s="529"/>
    </row>
    <row r="130" ht="15.75" customHeight="1">
      <c r="A130" s="505"/>
      <c r="B130" s="530"/>
      <c r="H130" s="531"/>
      <c r="J130" s="531"/>
      <c r="M130" s="531"/>
      <c r="R130" s="531"/>
      <c r="U130" s="531"/>
      <c r="Y130" s="531"/>
      <c r="AC130" s="531"/>
      <c r="AF130" s="531"/>
      <c r="AH130" s="531"/>
      <c r="AJ130" s="531"/>
      <c r="AO130" s="533"/>
    </row>
    <row r="131" ht="15.75" customHeight="1">
      <c r="A131" s="505"/>
      <c r="B131" s="526"/>
      <c r="H131" s="527"/>
      <c r="J131" s="527"/>
      <c r="M131" s="527"/>
      <c r="R131" s="527"/>
      <c r="U131" s="527"/>
      <c r="Y131" s="527"/>
      <c r="AC131" s="527"/>
      <c r="AF131" s="527"/>
      <c r="AH131" s="527"/>
      <c r="AJ131" s="527"/>
      <c r="AO131" s="529"/>
    </row>
    <row r="132" ht="15.75" customHeight="1">
      <c r="A132" s="505"/>
      <c r="B132" s="530"/>
      <c r="H132" s="531"/>
      <c r="J132" s="531"/>
      <c r="M132" s="531"/>
      <c r="R132" s="531"/>
      <c r="U132" s="531"/>
      <c r="Y132" s="531"/>
      <c r="AC132" s="531"/>
      <c r="AF132" s="531"/>
      <c r="AH132" s="531"/>
      <c r="AJ132" s="531"/>
      <c r="AO132" s="533"/>
    </row>
    <row r="133" ht="15.75" customHeight="1">
      <c r="A133" s="505"/>
      <c r="B133" s="526"/>
      <c r="H133" s="527"/>
      <c r="J133" s="527"/>
      <c r="M133" s="527"/>
      <c r="R133" s="527"/>
      <c r="U133" s="527"/>
      <c r="Y133" s="527"/>
      <c r="AC133" s="527"/>
      <c r="AF133" s="527"/>
      <c r="AH133" s="527"/>
      <c r="AJ133" s="527"/>
      <c r="AO133" s="529"/>
    </row>
    <row r="134" ht="15.75" customHeight="1">
      <c r="A134" s="505"/>
      <c r="B134" s="530"/>
      <c r="H134" s="531"/>
      <c r="J134" s="531"/>
      <c r="M134" s="531"/>
      <c r="R134" s="531"/>
      <c r="U134" s="531"/>
      <c r="Y134" s="531"/>
      <c r="AC134" s="531"/>
      <c r="AF134" s="531"/>
      <c r="AH134" s="531"/>
      <c r="AJ134" s="531"/>
      <c r="AO134" s="533"/>
    </row>
    <row r="135" ht="15.75" customHeight="1">
      <c r="A135" s="505"/>
      <c r="B135" s="526"/>
      <c r="H135" s="527"/>
      <c r="J135" s="527"/>
      <c r="M135" s="527"/>
      <c r="R135" s="527"/>
      <c r="U135" s="527"/>
      <c r="Y135" s="527"/>
      <c r="AC135" s="527"/>
      <c r="AF135" s="527"/>
      <c r="AH135" s="527"/>
      <c r="AJ135" s="527"/>
      <c r="AO135" s="529"/>
    </row>
    <row r="136" ht="15.75" customHeight="1">
      <c r="A136" s="505"/>
      <c r="B136" s="530"/>
      <c r="H136" s="531"/>
      <c r="J136" s="531"/>
      <c r="M136" s="531"/>
      <c r="R136" s="531"/>
      <c r="U136" s="531"/>
      <c r="Y136" s="531"/>
      <c r="AC136" s="531"/>
      <c r="AF136" s="531"/>
      <c r="AH136" s="531"/>
      <c r="AJ136" s="531"/>
      <c r="AO136" s="533"/>
    </row>
    <row r="137" ht="15.75" customHeight="1">
      <c r="A137" s="505"/>
      <c r="B137" s="526"/>
      <c r="H137" s="527"/>
      <c r="J137" s="527"/>
      <c r="M137" s="527"/>
      <c r="R137" s="527"/>
      <c r="U137" s="527"/>
      <c r="Y137" s="527"/>
      <c r="AC137" s="527"/>
      <c r="AF137" s="527"/>
      <c r="AH137" s="527"/>
      <c r="AJ137" s="527"/>
      <c r="AO137" s="529"/>
    </row>
    <row r="138" ht="15.75" customHeight="1">
      <c r="A138" s="505"/>
      <c r="B138" s="530"/>
      <c r="H138" s="531"/>
      <c r="J138" s="531"/>
      <c r="M138" s="531"/>
      <c r="R138" s="531"/>
      <c r="U138" s="531"/>
      <c r="Y138" s="531"/>
      <c r="AC138" s="531"/>
      <c r="AF138" s="531"/>
      <c r="AH138" s="531"/>
      <c r="AJ138" s="531"/>
      <c r="AO138" s="533"/>
    </row>
    <row r="139" ht="15.75" customHeight="1">
      <c r="A139" s="505"/>
      <c r="B139" s="526"/>
      <c r="H139" s="527"/>
      <c r="J139" s="527"/>
      <c r="M139" s="527"/>
      <c r="R139" s="527"/>
      <c r="U139" s="527"/>
      <c r="Y139" s="527"/>
      <c r="AC139" s="527"/>
      <c r="AF139" s="527"/>
      <c r="AH139" s="527"/>
      <c r="AJ139" s="527"/>
      <c r="AO139" s="529"/>
    </row>
    <row r="140" ht="15.75" customHeight="1">
      <c r="A140" s="505"/>
      <c r="B140" s="530"/>
      <c r="H140" s="531"/>
      <c r="J140" s="531"/>
      <c r="M140" s="531"/>
      <c r="R140" s="531"/>
      <c r="U140" s="531"/>
      <c r="Y140" s="531"/>
      <c r="AC140" s="531"/>
      <c r="AF140" s="531"/>
      <c r="AH140" s="531"/>
      <c r="AJ140" s="531"/>
      <c r="AO140" s="533"/>
    </row>
    <row r="141" ht="15.75" customHeight="1">
      <c r="A141" s="505"/>
      <c r="B141" s="526"/>
      <c r="H141" s="527"/>
      <c r="J141" s="527"/>
      <c r="M141" s="527"/>
      <c r="R141" s="527"/>
      <c r="U141" s="527"/>
      <c r="Y141" s="527"/>
      <c r="AC141" s="527"/>
      <c r="AF141" s="527"/>
      <c r="AH141" s="527"/>
      <c r="AJ141" s="527"/>
      <c r="AO141" s="529"/>
    </row>
    <row r="142" ht="15.75" customHeight="1">
      <c r="A142" s="505"/>
      <c r="B142" s="530"/>
      <c r="H142" s="531"/>
      <c r="J142" s="531"/>
      <c r="M142" s="531"/>
      <c r="R142" s="531"/>
      <c r="U142" s="531"/>
      <c r="Y142" s="531"/>
      <c r="AC142" s="531"/>
      <c r="AF142" s="531"/>
      <c r="AH142" s="531"/>
      <c r="AJ142" s="531"/>
      <c r="AO142" s="533"/>
    </row>
    <row r="143" ht="15.75" customHeight="1">
      <c r="A143" s="505"/>
      <c r="B143" s="526"/>
      <c r="H143" s="527"/>
      <c r="J143" s="527"/>
      <c r="M143" s="527"/>
      <c r="R143" s="527"/>
      <c r="U143" s="527"/>
      <c r="Y143" s="527"/>
      <c r="AC143" s="527"/>
      <c r="AF143" s="527"/>
      <c r="AH143" s="527"/>
      <c r="AJ143" s="527"/>
      <c r="AO143" s="529"/>
    </row>
    <row r="144" ht="15.75" customHeight="1">
      <c r="A144" s="505"/>
      <c r="B144" s="530"/>
      <c r="H144" s="531"/>
      <c r="J144" s="531"/>
      <c r="M144" s="531"/>
      <c r="R144" s="531"/>
      <c r="U144" s="531"/>
      <c r="Y144" s="531"/>
      <c r="AC144" s="531"/>
      <c r="AF144" s="531"/>
      <c r="AH144" s="531"/>
      <c r="AJ144" s="531"/>
      <c r="AO144" s="533"/>
    </row>
    <row r="145" ht="15.75" customHeight="1">
      <c r="A145" s="505"/>
      <c r="B145" s="526"/>
      <c r="H145" s="527"/>
      <c r="J145" s="527"/>
      <c r="M145" s="527"/>
      <c r="R145" s="527"/>
      <c r="U145" s="527"/>
      <c r="Y145" s="527"/>
      <c r="AC145" s="527"/>
      <c r="AF145" s="527"/>
      <c r="AH145" s="527"/>
      <c r="AJ145" s="527"/>
      <c r="AO145" s="529"/>
    </row>
    <row r="146" ht="15.75" customHeight="1">
      <c r="A146" s="505"/>
      <c r="B146" s="530"/>
      <c r="H146" s="531"/>
      <c r="J146" s="531"/>
      <c r="M146" s="531"/>
      <c r="R146" s="531"/>
      <c r="U146" s="531"/>
      <c r="Y146" s="531"/>
      <c r="AC146" s="531"/>
      <c r="AF146" s="531"/>
      <c r="AH146" s="531"/>
      <c r="AJ146" s="531"/>
      <c r="AO146" s="533"/>
    </row>
    <row r="147" ht="15.75" customHeight="1">
      <c r="A147" s="505"/>
      <c r="B147" s="526"/>
      <c r="H147" s="527"/>
      <c r="J147" s="527"/>
      <c r="M147" s="527"/>
      <c r="R147" s="527"/>
      <c r="U147" s="527"/>
      <c r="Y147" s="527"/>
      <c r="AC147" s="527"/>
      <c r="AF147" s="527"/>
      <c r="AH147" s="527"/>
      <c r="AJ147" s="527"/>
      <c r="AO147" s="529"/>
    </row>
    <row r="148" ht="15.75" customHeight="1">
      <c r="A148" s="505"/>
      <c r="B148" s="530"/>
      <c r="H148" s="531"/>
      <c r="J148" s="531"/>
      <c r="M148" s="531"/>
      <c r="R148" s="531"/>
      <c r="U148" s="531"/>
      <c r="Y148" s="531"/>
      <c r="AC148" s="531"/>
      <c r="AF148" s="531"/>
      <c r="AH148" s="531"/>
      <c r="AJ148" s="531"/>
      <c r="AO148" s="533"/>
    </row>
    <row r="149" ht="15.75" customHeight="1">
      <c r="A149" s="505"/>
      <c r="B149" s="526"/>
      <c r="H149" s="527"/>
      <c r="J149" s="527"/>
      <c r="M149" s="527"/>
      <c r="R149" s="527"/>
      <c r="U149" s="527"/>
      <c r="Y149" s="527"/>
      <c r="AC149" s="527"/>
      <c r="AF149" s="527"/>
      <c r="AH149" s="527"/>
      <c r="AJ149" s="527"/>
      <c r="AO149" s="529"/>
    </row>
    <row r="150" ht="15.75" customHeight="1">
      <c r="A150" s="505"/>
      <c r="B150" s="530"/>
      <c r="H150" s="531"/>
      <c r="J150" s="531"/>
      <c r="M150" s="531"/>
      <c r="R150" s="531"/>
      <c r="U150" s="531"/>
      <c r="Y150" s="531"/>
      <c r="AC150" s="531"/>
      <c r="AF150" s="531"/>
      <c r="AH150" s="531"/>
      <c r="AJ150" s="531"/>
      <c r="AO150" s="533"/>
    </row>
    <row r="151" ht="15.75" customHeight="1">
      <c r="A151" s="505"/>
      <c r="B151" s="526"/>
      <c r="H151" s="527"/>
      <c r="J151" s="527"/>
      <c r="M151" s="527"/>
      <c r="R151" s="527"/>
      <c r="U151" s="527"/>
      <c r="Y151" s="527"/>
      <c r="AC151" s="527"/>
      <c r="AF151" s="527"/>
      <c r="AH151" s="527"/>
      <c r="AJ151" s="527"/>
      <c r="AO151" s="529"/>
    </row>
    <row r="152" ht="15.75" customHeight="1">
      <c r="A152" s="505"/>
      <c r="B152" s="530"/>
      <c r="H152" s="531"/>
      <c r="J152" s="531"/>
      <c r="M152" s="531"/>
      <c r="R152" s="531"/>
      <c r="U152" s="531"/>
      <c r="Y152" s="531"/>
      <c r="AC152" s="531"/>
      <c r="AF152" s="531"/>
      <c r="AH152" s="531"/>
      <c r="AJ152" s="531"/>
      <c r="AO152" s="533"/>
    </row>
    <row r="153" ht="15.75" customHeight="1">
      <c r="A153" s="505"/>
      <c r="B153" s="526"/>
      <c r="H153" s="527"/>
      <c r="J153" s="527"/>
      <c r="M153" s="527"/>
      <c r="R153" s="527"/>
      <c r="U153" s="527"/>
      <c r="Y153" s="527"/>
      <c r="AC153" s="527"/>
      <c r="AF153" s="527"/>
      <c r="AH153" s="527"/>
      <c r="AJ153" s="527"/>
      <c r="AO153" s="529"/>
    </row>
    <row r="154" ht="15.75" customHeight="1">
      <c r="A154" s="505"/>
      <c r="B154" s="530"/>
      <c r="H154" s="531"/>
      <c r="J154" s="531"/>
      <c r="M154" s="531"/>
      <c r="R154" s="531"/>
      <c r="U154" s="531"/>
      <c r="Y154" s="531"/>
      <c r="AC154" s="531"/>
      <c r="AF154" s="531"/>
      <c r="AH154" s="531"/>
      <c r="AJ154" s="531"/>
      <c r="AO154" s="533"/>
    </row>
    <row r="155" ht="15.75" customHeight="1">
      <c r="A155" s="505"/>
      <c r="B155" s="526"/>
      <c r="H155" s="527"/>
      <c r="J155" s="527"/>
      <c r="M155" s="527"/>
      <c r="R155" s="527"/>
      <c r="U155" s="527"/>
      <c r="Y155" s="527"/>
      <c r="AC155" s="527"/>
      <c r="AF155" s="527"/>
      <c r="AH155" s="527"/>
      <c r="AJ155" s="527"/>
      <c r="AO155" s="529"/>
    </row>
    <row r="156" ht="15.75" customHeight="1">
      <c r="A156" s="505"/>
      <c r="B156" s="530"/>
      <c r="H156" s="531"/>
      <c r="J156" s="531"/>
      <c r="M156" s="531"/>
      <c r="R156" s="531"/>
      <c r="U156" s="531"/>
      <c r="Y156" s="531"/>
      <c r="AC156" s="531"/>
      <c r="AF156" s="531"/>
      <c r="AH156" s="531"/>
      <c r="AJ156" s="531"/>
      <c r="AO156" s="533"/>
    </row>
    <row r="157" ht="15.75" customHeight="1">
      <c r="A157" s="505"/>
      <c r="B157" s="526"/>
      <c r="H157" s="527"/>
      <c r="J157" s="527"/>
      <c r="M157" s="527"/>
      <c r="R157" s="527"/>
      <c r="U157" s="527"/>
      <c r="Y157" s="527"/>
      <c r="AC157" s="527"/>
      <c r="AF157" s="527"/>
      <c r="AH157" s="527"/>
      <c r="AJ157" s="527"/>
      <c r="AO157" s="529"/>
    </row>
    <row r="158" ht="15.75" customHeight="1">
      <c r="A158" s="505"/>
      <c r="B158" s="530"/>
      <c r="H158" s="531"/>
      <c r="J158" s="531"/>
      <c r="M158" s="531"/>
      <c r="R158" s="531"/>
      <c r="U158" s="531"/>
      <c r="Y158" s="531"/>
      <c r="AC158" s="531"/>
      <c r="AF158" s="531"/>
      <c r="AH158" s="531"/>
      <c r="AJ158" s="531"/>
      <c r="AO158" s="533"/>
    </row>
    <row r="159" ht="15.75" customHeight="1">
      <c r="A159" s="505"/>
      <c r="B159" s="526"/>
      <c r="H159" s="527"/>
      <c r="J159" s="527"/>
      <c r="M159" s="527"/>
      <c r="R159" s="527"/>
      <c r="U159" s="527"/>
      <c r="Y159" s="527"/>
      <c r="AC159" s="527"/>
      <c r="AF159" s="527"/>
      <c r="AH159" s="527"/>
      <c r="AJ159" s="527"/>
      <c r="AO159" s="529"/>
    </row>
    <row r="160" ht="15.75" customHeight="1">
      <c r="A160" s="505"/>
      <c r="B160" s="530"/>
      <c r="H160" s="531"/>
      <c r="J160" s="531"/>
      <c r="M160" s="531"/>
      <c r="R160" s="531"/>
      <c r="U160" s="531"/>
      <c r="Y160" s="531"/>
      <c r="AC160" s="531"/>
      <c r="AF160" s="531"/>
      <c r="AH160" s="531"/>
      <c r="AJ160" s="531"/>
      <c r="AO160" s="533"/>
    </row>
    <row r="161" ht="15.75" customHeight="1">
      <c r="A161" s="505"/>
      <c r="B161" s="526"/>
      <c r="H161" s="527"/>
      <c r="J161" s="527"/>
      <c r="M161" s="527"/>
      <c r="R161" s="527"/>
      <c r="U161" s="527"/>
      <c r="Y161" s="527"/>
      <c r="AC161" s="527"/>
      <c r="AF161" s="527"/>
      <c r="AH161" s="527"/>
      <c r="AJ161" s="527"/>
      <c r="AO161" s="529"/>
    </row>
    <row r="162" ht="15.75" customHeight="1">
      <c r="A162" s="505"/>
      <c r="B162" s="530"/>
      <c r="H162" s="531"/>
      <c r="J162" s="531"/>
      <c r="M162" s="531"/>
      <c r="R162" s="531"/>
      <c r="U162" s="531"/>
      <c r="Y162" s="531"/>
      <c r="AC162" s="531"/>
      <c r="AF162" s="531"/>
      <c r="AH162" s="531"/>
      <c r="AJ162" s="531"/>
      <c r="AO162" s="533"/>
    </row>
    <row r="163" ht="15.75" customHeight="1">
      <c r="A163" s="505"/>
      <c r="B163" s="526"/>
      <c r="H163" s="527"/>
      <c r="J163" s="527"/>
      <c r="M163" s="527"/>
      <c r="R163" s="527"/>
      <c r="U163" s="527"/>
      <c r="Y163" s="527"/>
      <c r="AC163" s="527"/>
      <c r="AF163" s="527"/>
      <c r="AH163" s="527"/>
      <c r="AJ163" s="527"/>
      <c r="AO163" s="529"/>
    </row>
    <row r="164" ht="15.75" customHeight="1">
      <c r="A164" s="505"/>
      <c r="B164" s="530"/>
      <c r="H164" s="531"/>
      <c r="J164" s="531"/>
      <c r="M164" s="531"/>
      <c r="R164" s="531"/>
      <c r="U164" s="531"/>
      <c r="Y164" s="531"/>
      <c r="AC164" s="531"/>
      <c r="AF164" s="531"/>
      <c r="AH164" s="531"/>
      <c r="AJ164" s="531"/>
      <c r="AO164" s="533"/>
    </row>
    <row r="165" ht="15.75" customHeight="1">
      <c r="A165" s="505"/>
      <c r="B165" s="526"/>
      <c r="H165" s="527"/>
      <c r="J165" s="527"/>
      <c r="M165" s="527"/>
      <c r="R165" s="527"/>
      <c r="U165" s="527"/>
      <c r="Y165" s="527"/>
      <c r="AC165" s="527"/>
      <c r="AF165" s="527"/>
      <c r="AH165" s="527"/>
      <c r="AJ165" s="527"/>
      <c r="AO165" s="529"/>
    </row>
    <row r="166" ht="15.75" customHeight="1">
      <c r="A166" s="505"/>
      <c r="B166" s="530"/>
      <c r="H166" s="531"/>
      <c r="J166" s="531"/>
      <c r="M166" s="531"/>
      <c r="R166" s="531"/>
      <c r="U166" s="531"/>
      <c r="Y166" s="531"/>
      <c r="AC166" s="531"/>
      <c r="AF166" s="531"/>
      <c r="AH166" s="531"/>
      <c r="AJ166" s="531"/>
      <c r="AO166" s="533"/>
    </row>
    <row r="167" ht="15.75" customHeight="1">
      <c r="A167" s="505"/>
      <c r="B167" s="526"/>
      <c r="H167" s="527"/>
      <c r="J167" s="527"/>
      <c r="M167" s="527"/>
      <c r="R167" s="527"/>
      <c r="U167" s="527"/>
      <c r="Y167" s="527"/>
      <c r="AC167" s="527"/>
      <c r="AF167" s="527"/>
      <c r="AH167" s="527"/>
      <c r="AJ167" s="527"/>
      <c r="AO167" s="529"/>
    </row>
    <row r="168" ht="15.75" customHeight="1">
      <c r="A168" s="505"/>
      <c r="B168" s="530"/>
      <c r="H168" s="531"/>
      <c r="J168" s="531"/>
      <c r="M168" s="531"/>
      <c r="R168" s="531"/>
      <c r="U168" s="531"/>
      <c r="Y168" s="531"/>
      <c r="AC168" s="531"/>
      <c r="AF168" s="531"/>
      <c r="AH168" s="531"/>
      <c r="AJ168" s="531"/>
      <c r="AO168" s="533"/>
    </row>
    <row r="169" ht="15.75" customHeight="1">
      <c r="A169" s="505"/>
      <c r="B169" s="526"/>
      <c r="H169" s="527"/>
      <c r="J169" s="527"/>
      <c r="M169" s="527"/>
      <c r="R169" s="527"/>
      <c r="U169" s="527"/>
      <c r="Y169" s="527"/>
      <c r="AC169" s="527"/>
      <c r="AF169" s="527"/>
      <c r="AH169" s="527"/>
      <c r="AJ169" s="527"/>
      <c r="AO169" s="529"/>
    </row>
    <row r="170" ht="15.75" customHeight="1">
      <c r="A170" s="505"/>
      <c r="B170" s="530"/>
      <c r="H170" s="531"/>
      <c r="J170" s="531"/>
      <c r="M170" s="531"/>
      <c r="R170" s="531"/>
      <c r="U170" s="531"/>
      <c r="Y170" s="531"/>
      <c r="AC170" s="531"/>
      <c r="AF170" s="531"/>
      <c r="AH170" s="531"/>
      <c r="AJ170" s="531"/>
      <c r="AO170" s="533"/>
    </row>
    <row r="171" ht="15.75" customHeight="1">
      <c r="A171" s="505"/>
      <c r="B171" s="526"/>
      <c r="H171" s="527"/>
      <c r="J171" s="527"/>
      <c r="M171" s="527"/>
      <c r="R171" s="527"/>
      <c r="U171" s="527"/>
      <c r="Y171" s="527"/>
      <c r="AC171" s="527"/>
      <c r="AF171" s="527"/>
      <c r="AH171" s="527"/>
      <c r="AJ171" s="527"/>
      <c r="AO171" s="529"/>
    </row>
    <row r="172" ht="15.75" customHeight="1">
      <c r="A172" s="505"/>
      <c r="B172" s="530"/>
      <c r="H172" s="531"/>
      <c r="J172" s="531"/>
      <c r="M172" s="531"/>
      <c r="R172" s="531"/>
      <c r="U172" s="531"/>
      <c r="Y172" s="531"/>
      <c r="AC172" s="531"/>
      <c r="AF172" s="531"/>
      <c r="AH172" s="531"/>
      <c r="AJ172" s="531"/>
      <c r="AO172" s="533"/>
    </row>
    <row r="173" ht="15.75" customHeight="1">
      <c r="A173" s="505"/>
      <c r="B173" s="526"/>
      <c r="H173" s="527"/>
      <c r="J173" s="527"/>
      <c r="M173" s="527"/>
      <c r="R173" s="527"/>
      <c r="U173" s="527"/>
      <c r="Y173" s="527"/>
      <c r="AC173" s="527"/>
      <c r="AF173" s="527"/>
      <c r="AH173" s="527"/>
      <c r="AJ173" s="527"/>
      <c r="AO173" s="529"/>
    </row>
    <row r="174" ht="15.75" customHeight="1">
      <c r="A174" s="505"/>
      <c r="B174" s="530"/>
      <c r="H174" s="531"/>
      <c r="J174" s="531"/>
      <c r="M174" s="531"/>
      <c r="R174" s="531"/>
      <c r="U174" s="531"/>
      <c r="Y174" s="531"/>
      <c r="AC174" s="531"/>
      <c r="AF174" s="531"/>
      <c r="AH174" s="531"/>
      <c r="AJ174" s="531"/>
      <c r="AO174" s="533"/>
    </row>
    <row r="175" ht="15.75" customHeight="1">
      <c r="A175" s="505"/>
      <c r="B175" s="526"/>
      <c r="H175" s="527"/>
      <c r="J175" s="527"/>
      <c r="M175" s="527"/>
      <c r="R175" s="527"/>
      <c r="U175" s="527"/>
      <c r="Y175" s="527"/>
      <c r="AC175" s="527"/>
      <c r="AF175" s="527"/>
      <c r="AH175" s="527"/>
      <c r="AJ175" s="527"/>
      <c r="AO175" s="529"/>
    </row>
    <row r="176" ht="15.75" customHeight="1">
      <c r="A176" s="505"/>
      <c r="B176" s="530"/>
      <c r="H176" s="531"/>
      <c r="J176" s="531"/>
      <c r="M176" s="531"/>
      <c r="R176" s="531"/>
      <c r="U176" s="531"/>
      <c r="Y176" s="531"/>
      <c r="AC176" s="531"/>
      <c r="AF176" s="531"/>
      <c r="AH176" s="531"/>
      <c r="AJ176" s="531"/>
      <c r="AO176" s="533"/>
    </row>
    <row r="177" ht="15.75" customHeight="1">
      <c r="A177" s="505"/>
      <c r="B177" s="526"/>
      <c r="H177" s="527"/>
      <c r="J177" s="527"/>
      <c r="M177" s="527"/>
      <c r="R177" s="527"/>
      <c r="U177" s="527"/>
      <c r="Y177" s="527"/>
      <c r="AC177" s="527"/>
      <c r="AF177" s="527"/>
      <c r="AH177" s="527"/>
      <c r="AJ177" s="527"/>
      <c r="AO177" s="529"/>
    </row>
    <row r="178" ht="15.75" customHeight="1">
      <c r="A178" s="505"/>
      <c r="B178" s="530"/>
      <c r="H178" s="531"/>
      <c r="J178" s="531"/>
      <c r="M178" s="531"/>
      <c r="R178" s="531"/>
      <c r="U178" s="531"/>
      <c r="Y178" s="531"/>
      <c r="AC178" s="531"/>
      <c r="AF178" s="531"/>
      <c r="AH178" s="531"/>
      <c r="AJ178" s="531"/>
      <c r="AO178" s="533"/>
    </row>
    <row r="179" ht="15.75" customHeight="1">
      <c r="A179" s="505"/>
      <c r="B179" s="526"/>
      <c r="H179" s="527"/>
      <c r="J179" s="527"/>
      <c r="M179" s="527"/>
      <c r="R179" s="527"/>
      <c r="U179" s="527"/>
      <c r="Y179" s="527"/>
      <c r="AC179" s="527"/>
      <c r="AF179" s="527"/>
      <c r="AH179" s="527"/>
      <c r="AJ179" s="527"/>
      <c r="AO179" s="529"/>
    </row>
    <row r="180" ht="15.75" customHeight="1">
      <c r="A180" s="505"/>
      <c r="B180" s="530"/>
      <c r="H180" s="531"/>
      <c r="J180" s="531"/>
      <c r="M180" s="531"/>
      <c r="R180" s="531"/>
      <c r="U180" s="531"/>
      <c r="Y180" s="531"/>
      <c r="AC180" s="531"/>
      <c r="AF180" s="531"/>
      <c r="AH180" s="531"/>
      <c r="AJ180" s="531"/>
      <c r="AO180" s="533"/>
    </row>
    <row r="181" ht="15.75" customHeight="1">
      <c r="A181" s="505"/>
      <c r="B181" s="526"/>
      <c r="H181" s="527"/>
      <c r="J181" s="527"/>
      <c r="M181" s="527"/>
      <c r="R181" s="527"/>
      <c r="U181" s="527"/>
      <c r="Y181" s="527"/>
      <c r="AC181" s="527"/>
      <c r="AF181" s="527"/>
      <c r="AH181" s="527"/>
      <c r="AJ181" s="527"/>
      <c r="AO181" s="529"/>
    </row>
    <row r="182" ht="15.75" customHeight="1">
      <c r="A182" s="505"/>
      <c r="B182" s="530"/>
      <c r="H182" s="531"/>
      <c r="J182" s="531"/>
      <c r="M182" s="531"/>
      <c r="R182" s="531"/>
      <c r="U182" s="531"/>
      <c r="Y182" s="531"/>
      <c r="AC182" s="531"/>
      <c r="AF182" s="531"/>
      <c r="AH182" s="531"/>
      <c r="AJ182" s="531"/>
      <c r="AO182" s="533"/>
    </row>
    <row r="183" ht="15.75" customHeight="1">
      <c r="A183" s="505"/>
      <c r="B183" s="526"/>
      <c r="H183" s="527"/>
      <c r="J183" s="527"/>
      <c r="M183" s="527"/>
      <c r="R183" s="527"/>
      <c r="U183" s="527"/>
      <c r="Y183" s="527"/>
      <c r="AC183" s="527"/>
      <c r="AF183" s="527"/>
      <c r="AH183" s="527"/>
      <c r="AJ183" s="527"/>
      <c r="AO183" s="529"/>
    </row>
    <row r="184" ht="15.75" customHeight="1">
      <c r="A184" s="505"/>
      <c r="B184" s="530"/>
      <c r="H184" s="531"/>
      <c r="J184" s="531"/>
      <c r="M184" s="531"/>
      <c r="R184" s="531"/>
      <c r="U184" s="531"/>
      <c r="Y184" s="531"/>
      <c r="AC184" s="531"/>
      <c r="AF184" s="531"/>
      <c r="AH184" s="531"/>
      <c r="AJ184" s="531"/>
      <c r="AO184" s="533"/>
    </row>
    <row r="185" ht="15.75" customHeight="1">
      <c r="A185" s="505"/>
      <c r="B185" s="526"/>
      <c r="H185" s="527"/>
      <c r="J185" s="527"/>
      <c r="M185" s="527"/>
      <c r="R185" s="527"/>
      <c r="U185" s="527"/>
      <c r="Y185" s="527"/>
      <c r="AC185" s="527"/>
      <c r="AF185" s="527"/>
      <c r="AH185" s="527"/>
      <c r="AJ185" s="527"/>
      <c r="AO185" s="529"/>
    </row>
    <row r="186" ht="15.75" customHeight="1">
      <c r="A186" s="505"/>
      <c r="B186" s="530"/>
      <c r="H186" s="531"/>
      <c r="J186" s="531"/>
      <c r="M186" s="531"/>
      <c r="R186" s="531"/>
      <c r="U186" s="531"/>
      <c r="Y186" s="531"/>
      <c r="AC186" s="531"/>
      <c r="AF186" s="531"/>
      <c r="AH186" s="531"/>
      <c r="AJ186" s="531"/>
      <c r="AO186" s="533"/>
    </row>
    <row r="187" ht="15.75" customHeight="1">
      <c r="A187" s="505"/>
      <c r="B187" s="526"/>
      <c r="H187" s="527"/>
      <c r="J187" s="527"/>
      <c r="M187" s="527"/>
      <c r="R187" s="527"/>
      <c r="U187" s="527"/>
      <c r="Y187" s="527"/>
      <c r="AC187" s="527"/>
      <c r="AF187" s="527"/>
      <c r="AH187" s="527"/>
      <c r="AJ187" s="527"/>
      <c r="AO187" s="529"/>
    </row>
    <row r="188" ht="15.75" customHeight="1">
      <c r="A188" s="505"/>
      <c r="B188" s="530"/>
      <c r="H188" s="531"/>
      <c r="J188" s="531"/>
      <c r="M188" s="531"/>
      <c r="R188" s="531"/>
      <c r="U188" s="531"/>
      <c r="Y188" s="531"/>
      <c r="AC188" s="531"/>
      <c r="AF188" s="531"/>
      <c r="AH188" s="531"/>
      <c r="AJ188" s="531"/>
      <c r="AO188" s="533"/>
    </row>
    <row r="189" ht="15.75" customHeight="1">
      <c r="A189" s="505"/>
      <c r="B189" s="526"/>
      <c r="H189" s="527"/>
      <c r="J189" s="527"/>
      <c r="M189" s="527"/>
      <c r="R189" s="527"/>
      <c r="U189" s="527"/>
      <c r="Y189" s="527"/>
      <c r="AC189" s="527"/>
      <c r="AF189" s="527"/>
      <c r="AH189" s="527"/>
      <c r="AJ189" s="527"/>
      <c r="AO189" s="529"/>
    </row>
    <row r="190" ht="15.75" customHeight="1">
      <c r="A190" s="505"/>
      <c r="B190" s="530"/>
      <c r="H190" s="531"/>
      <c r="J190" s="531"/>
      <c r="M190" s="531"/>
      <c r="R190" s="531"/>
      <c r="U190" s="531"/>
      <c r="Y190" s="531"/>
      <c r="AC190" s="531"/>
      <c r="AF190" s="531"/>
      <c r="AH190" s="531"/>
      <c r="AJ190" s="531"/>
      <c r="AO190" s="533"/>
    </row>
    <row r="191" ht="15.75" customHeight="1">
      <c r="A191" s="505"/>
      <c r="B191" s="526"/>
      <c r="H191" s="527"/>
      <c r="J191" s="527"/>
      <c r="M191" s="527"/>
      <c r="R191" s="527"/>
      <c r="U191" s="527"/>
      <c r="Y191" s="527"/>
      <c r="AC191" s="527"/>
      <c r="AF191" s="527"/>
      <c r="AH191" s="527"/>
      <c r="AJ191" s="527"/>
      <c r="AO191" s="529"/>
    </row>
    <row r="192" ht="15.75" customHeight="1">
      <c r="A192" s="505"/>
      <c r="B192" s="530"/>
      <c r="H192" s="531"/>
      <c r="J192" s="531"/>
      <c r="M192" s="531"/>
      <c r="R192" s="531"/>
      <c r="U192" s="531"/>
      <c r="Y192" s="531"/>
      <c r="AC192" s="531"/>
      <c r="AF192" s="531"/>
      <c r="AH192" s="531"/>
      <c r="AJ192" s="531"/>
      <c r="AO192" s="533"/>
    </row>
    <row r="193" ht="15.75" customHeight="1">
      <c r="A193" s="505"/>
      <c r="B193" s="526"/>
      <c r="H193" s="527"/>
      <c r="J193" s="527"/>
      <c r="M193" s="527"/>
      <c r="R193" s="527"/>
      <c r="U193" s="527"/>
      <c r="Y193" s="527"/>
      <c r="AC193" s="527"/>
      <c r="AF193" s="527"/>
      <c r="AH193" s="527"/>
      <c r="AJ193" s="527"/>
      <c r="AO193" s="529"/>
    </row>
    <row r="194" ht="15.75" customHeight="1">
      <c r="A194" s="505"/>
      <c r="B194" s="530"/>
      <c r="H194" s="531"/>
      <c r="J194" s="531"/>
      <c r="M194" s="531"/>
      <c r="R194" s="531"/>
      <c r="U194" s="531"/>
      <c r="Y194" s="531"/>
      <c r="AC194" s="531"/>
      <c r="AF194" s="531"/>
      <c r="AH194" s="531"/>
      <c r="AJ194" s="531"/>
      <c r="AO194" s="533"/>
    </row>
    <row r="195" ht="15.75" customHeight="1">
      <c r="A195" s="505"/>
      <c r="B195" s="526"/>
      <c r="H195" s="527"/>
      <c r="J195" s="527"/>
      <c r="M195" s="527"/>
      <c r="R195" s="527"/>
      <c r="U195" s="527"/>
      <c r="Y195" s="527"/>
      <c r="AC195" s="527"/>
      <c r="AF195" s="527"/>
      <c r="AH195" s="527"/>
      <c r="AJ195" s="527"/>
      <c r="AO195" s="529"/>
    </row>
    <row r="196" ht="15.75" customHeight="1">
      <c r="B196" s="542"/>
      <c r="C196" s="543"/>
      <c r="D196" s="543"/>
      <c r="E196" s="543"/>
      <c r="F196" s="543"/>
      <c r="G196" s="543"/>
      <c r="H196" s="543"/>
      <c r="I196" s="543"/>
      <c r="J196" s="543"/>
      <c r="K196" s="543"/>
      <c r="L196" s="543"/>
      <c r="M196" s="543"/>
      <c r="N196" s="543"/>
      <c r="O196" s="543"/>
      <c r="P196" s="543"/>
      <c r="Q196" s="543"/>
      <c r="R196" s="543"/>
      <c r="S196" s="543"/>
      <c r="T196" s="543"/>
      <c r="U196" s="543"/>
      <c r="V196" s="543"/>
      <c r="W196" s="543"/>
      <c r="X196" s="543"/>
      <c r="Y196" s="543"/>
      <c r="Z196" s="543"/>
      <c r="AA196" s="543"/>
      <c r="AB196" s="543"/>
      <c r="AC196" s="543"/>
      <c r="AD196" s="543"/>
      <c r="AE196" s="543"/>
      <c r="AF196" s="543"/>
      <c r="AG196" s="543"/>
      <c r="AH196" s="543"/>
      <c r="AI196" s="543"/>
      <c r="AJ196" s="543"/>
      <c r="AK196" s="543"/>
      <c r="AL196" s="543"/>
      <c r="AM196" s="543"/>
      <c r="AN196" s="543"/>
      <c r="AO196" s="544"/>
    </row>
    <row r="197" ht="15.75" customHeight="1">
      <c r="B197" s="545"/>
      <c r="C197" s="546"/>
      <c r="D197" s="546"/>
      <c r="E197" s="546"/>
      <c r="F197" s="546"/>
      <c r="G197" s="546"/>
      <c r="H197" s="546"/>
      <c r="I197" s="546"/>
      <c r="J197" s="546"/>
      <c r="K197" s="546"/>
      <c r="L197" s="546"/>
      <c r="M197" s="546"/>
      <c r="N197" s="546"/>
      <c r="O197" s="546"/>
      <c r="P197" s="546"/>
      <c r="Q197" s="546"/>
      <c r="R197" s="546"/>
      <c r="S197" s="546"/>
      <c r="T197" s="546"/>
      <c r="U197" s="546"/>
      <c r="V197" s="546"/>
      <c r="W197" s="546"/>
      <c r="X197" s="546"/>
      <c r="Y197" s="546"/>
      <c r="Z197" s="546"/>
      <c r="AA197" s="546"/>
      <c r="AB197" s="546"/>
      <c r="AC197" s="546"/>
      <c r="AD197" s="546"/>
      <c r="AE197" s="546"/>
      <c r="AF197" s="546"/>
      <c r="AG197" s="546"/>
      <c r="AH197" s="546"/>
      <c r="AI197" s="546"/>
      <c r="AJ197" s="546"/>
      <c r="AK197" s="546"/>
      <c r="AL197" s="546"/>
      <c r="AM197" s="546"/>
      <c r="AN197" s="546"/>
      <c r="AO197" s="547"/>
    </row>
    <row r="198" ht="15.75" customHeight="1">
      <c r="B198" s="542"/>
      <c r="C198" s="543"/>
      <c r="D198" s="543"/>
      <c r="E198" s="543"/>
      <c r="F198" s="543"/>
      <c r="G198" s="543"/>
      <c r="H198" s="543"/>
      <c r="I198" s="543"/>
      <c r="J198" s="543"/>
      <c r="K198" s="543"/>
      <c r="L198" s="543"/>
      <c r="M198" s="543"/>
      <c r="N198" s="543"/>
      <c r="O198" s="543"/>
      <c r="P198" s="543"/>
      <c r="Q198" s="543"/>
      <c r="R198" s="543"/>
      <c r="S198" s="543"/>
      <c r="T198" s="543"/>
      <c r="U198" s="543"/>
      <c r="V198" s="543"/>
      <c r="W198" s="543"/>
      <c r="X198" s="543"/>
      <c r="Y198" s="543"/>
      <c r="Z198" s="543"/>
      <c r="AA198" s="543"/>
      <c r="AB198" s="543"/>
      <c r="AC198" s="543"/>
      <c r="AD198" s="543"/>
      <c r="AE198" s="543"/>
      <c r="AF198" s="543"/>
      <c r="AG198" s="543"/>
      <c r="AH198" s="543"/>
      <c r="AI198" s="543"/>
      <c r="AJ198" s="543"/>
      <c r="AK198" s="543"/>
      <c r="AL198" s="543"/>
      <c r="AM198" s="543"/>
      <c r="AN198" s="543"/>
      <c r="AO198" s="544"/>
    </row>
    <row r="199" ht="15.75" customHeight="1">
      <c r="B199" s="545"/>
      <c r="C199" s="546"/>
      <c r="D199" s="546"/>
      <c r="E199" s="546"/>
      <c r="F199" s="546"/>
      <c r="G199" s="546"/>
      <c r="H199" s="546"/>
      <c r="I199" s="546"/>
      <c r="J199" s="546"/>
      <c r="K199" s="546"/>
      <c r="L199" s="546"/>
      <c r="M199" s="546"/>
      <c r="N199" s="546"/>
      <c r="O199" s="546"/>
      <c r="P199" s="546"/>
      <c r="Q199" s="546"/>
      <c r="R199" s="546"/>
      <c r="S199" s="546"/>
      <c r="T199" s="546"/>
      <c r="U199" s="546"/>
      <c r="V199" s="546"/>
      <c r="W199" s="546"/>
      <c r="X199" s="546"/>
      <c r="Y199" s="546"/>
      <c r="Z199" s="546"/>
      <c r="AA199" s="546"/>
      <c r="AB199" s="546"/>
      <c r="AC199" s="546"/>
      <c r="AD199" s="546"/>
      <c r="AE199" s="546"/>
      <c r="AF199" s="546"/>
      <c r="AG199" s="546"/>
      <c r="AH199" s="546"/>
      <c r="AI199" s="546"/>
      <c r="AJ199" s="546"/>
      <c r="AK199" s="546"/>
      <c r="AL199" s="546"/>
      <c r="AM199" s="546"/>
      <c r="AN199" s="546"/>
      <c r="AO199" s="547"/>
    </row>
    <row r="200" ht="15.75" customHeight="1">
      <c r="B200" s="542"/>
      <c r="C200" s="543"/>
      <c r="D200" s="543"/>
      <c r="E200" s="543"/>
      <c r="F200" s="543"/>
      <c r="G200" s="543"/>
      <c r="H200" s="543"/>
      <c r="I200" s="543"/>
      <c r="J200" s="543"/>
      <c r="K200" s="543"/>
      <c r="L200" s="543"/>
      <c r="M200" s="543"/>
      <c r="N200" s="543"/>
      <c r="O200" s="543"/>
      <c r="P200" s="543"/>
      <c r="Q200" s="543"/>
      <c r="R200" s="543"/>
      <c r="S200" s="543"/>
      <c r="T200" s="543"/>
      <c r="U200" s="543"/>
      <c r="V200" s="543"/>
      <c r="W200" s="543"/>
      <c r="X200" s="543"/>
      <c r="Y200" s="543"/>
      <c r="Z200" s="543"/>
      <c r="AA200" s="543"/>
      <c r="AB200" s="543"/>
      <c r="AC200" s="543"/>
      <c r="AD200" s="543"/>
      <c r="AE200" s="543"/>
      <c r="AF200" s="543"/>
      <c r="AG200" s="543"/>
      <c r="AH200" s="543"/>
      <c r="AI200" s="543"/>
      <c r="AJ200" s="543"/>
      <c r="AK200" s="543"/>
      <c r="AL200" s="543"/>
      <c r="AM200" s="543"/>
      <c r="AN200" s="543"/>
      <c r="AO200" s="544"/>
    </row>
    <row r="201" ht="15.75" customHeight="1">
      <c r="B201" s="545"/>
      <c r="C201" s="546"/>
      <c r="D201" s="546"/>
      <c r="E201" s="546"/>
      <c r="F201" s="546"/>
      <c r="G201" s="546"/>
      <c r="H201" s="546"/>
      <c r="I201" s="546"/>
      <c r="J201" s="546"/>
      <c r="K201" s="546"/>
      <c r="L201" s="546"/>
      <c r="M201" s="546"/>
      <c r="N201" s="546"/>
      <c r="O201" s="546"/>
      <c r="P201" s="546"/>
      <c r="Q201" s="546"/>
      <c r="R201" s="546"/>
      <c r="S201" s="546"/>
      <c r="T201" s="546"/>
      <c r="U201" s="546"/>
      <c r="V201" s="546"/>
      <c r="W201" s="546"/>
      <c r="X201" s="546"/>
      <c r="Y201" s="546"/>
      <c r="Z201" s="546"/>
      <c r="AA201" s="546"/>
      <c r="AB201" s="546"/>
      <c r="AC201" s="546"/>
      <c r="AD201" s="546"/>
      <c r="AE201" s="546"/>
      <c r="AF201" s="546"/>
      <c r="AG201" s="546"/>
      <c r="AH201" s="546"/>
      <c r="AI201" s="546"/>
      <c r="AJ201" s="546"/>
      <c r="AK201" s="546"/>
      <c r="AL201" s="546"/>
      <c r="AM201" s="546"/>
      <c r="AN201" s="546"/>
      <c r="AO201" s="547"/>
    </row>
  </sheetData>
  <mergeCells count="2099">
    <mergeCell ref="AC8:AE8"/>
    <mergeCell ref="AF8:AG8"/>
    <mergeCell ref="AH8:AI8"/>
    <mergeCell ref="AJ8:AO8"/>
    <mergeCell ref="B8:G8"/>
    <mergeCell ref="H8:I8"/>
    <mergeCell ref="J8:L8"/>
    <mergeCell ref="M8:Q8"/>
    <mergeCell ref="R8:T8"/>
    <mergeCell ref="U8:X8"/>
    <mergeCell ref="Y8:AB8"/>
    <mergeCell ref="AC9:AE9"/>
    <mergeCell ref="AF9:AG9"/>
    <mergeCell ref="AH9:AI9"/>
    <mergeCell ref="AJ9:AO9"/>
    <mergeCell ref="B9:G9"/>
    <mergeCell ref="H9:I9"/>
    <mergeCell ref="J9:L9"/>
    <mergeCell ref="M9:Q9"/>
    <mergeCell ref="R9:T9"/>
    <mergeCell ref="U9:X9"/>
    <mergeCell ref="Y9:AB9"/>
    <mergeCell ref="AC10:AE10"/>
    <mergeCell ref="AF10:AG10"/>
    <mergeCell ref="AH10:AI10"/>
    <mergeCell ref="AJ10:AO10"/>
    <mergeCell ref="B10:G10"/>
    <mergeCell ref="H10:I10"/>
    <mergeCell ref="J10:L10"/>
    <mergeCell ref="M10:Q10"/>
    <mergeCell ref="R10:T10"/>
    <mergeCell ref="U10:X10"/>
    <mergeCell ref="Y10:AB10"/>
    <mergeCell ref="AC11:AE11"/>
    <mergeCell ref="AF11:AG11"/>
    <mergeCell ref="AH11:AI11"/>
    <mergeCell ref="AJ11:AO11"/>
    <mergeCell ref="B11:G11"/>
    <mergeCell ref="H11:I11"/>
    <mergeCell ref="J11:L11"/>
    <mergeCell ref="M11:Q11"/>
    <mergeCell ref="R11:T11"/>
    <mergeCell ref="U11:X11"/>
    <mergeCell ref="Y11:AB11"/>
    <mergeCell ref="AC12:AE12"/>
    <mergeCell ref="AF12:AG12"/>
    <mergeCell ref="AH12:AI12"/>
    <mergeCell ref="AJ12:AO12"/>
    <mergeCell ref="B12:G12"/>
    <mergeCell ref="H12:I12"/>
    <mergeCell ref="J12:L12"/>
    <mergeCell ref="M12:Q12"/>
    <mergeCell ref="R12:T12"/>
    <mergeCell ref="U12:X12"/>
    <mergeCell ref="Y12:AB12"/>
    <mergeCell ref="AC13:AE13"/>
    <mergeCell ref="AF13:AG13"/>
    <mergeCell ref="AH13:AI13"/>
    <mergeCell ref="AJ13:AO13"/>
    <mergeCell ref="B13:G13"/>
    <mergeCell ref="H13:I13"/>
    <mergeCell ref="J13:L13"/>
    <mergeCell ref="M13:Q13"/>
    <mergeCell ref="R13:T13"/>
    <mergeCell ref="U13:X13"/>
    <mergeCell ref="Y13:AB13"/>
    <mergeCell ref="AC14:AE14"/>
    <mergeCell ref="AF14:AG14"/>
    <mergeCell ref="AH14:AI14"/>
    <mergeCell ref="AJ14:AO14"/>
    <mergeCell ref="B14:G14"/>
    <mergeCell ref="H14:I14"/>
    <mergeCell ref="J14:L14"/>
    <mergeCell ref="M14:Q14"/>
    <mergeCell ref="R14:T14"/>
    <mergeCell ref="U14:X14"/>
    <mergeCell ref="Y14:AB14"/>
    <mergeCell ref="AC15:AE15"/>
    <mergeCell ref="AF15:AG15"/>
    <mergeCell ref="AH15:AI15"/>
    <mergeCell ref="AJ15:AO15"/>
    <mergeCell ref="B15:G15"/>
    <mergeCell ref="H15:I15"/>
    <mergeCell ref="J15:L15"/>
    <mergeCell ref="M15:Q15"/>
    <mergeCell ref="R15:T15"/>
    <mergeCell ref="U15:X15"/>
    <mergeCell ref="Y15:AB15"/>
    <mergeCell ref="AC16:AE16"/>
    <mergeCell ref="AF16:AG16"/>
    <mergeCell ref="AH16:AI16"/>
    <mergeCell ref="AJ16:AO16"/>
    <mergeCell ref="B16:G16"/>
    <mergeCell ref="H16:I16"/>
    <mergeCell ref="J16:L16"/>
    <mergeCell ref="M16:Q16"/>
    <mergeCell ref="R16:T16"/>
    <mergeCell ref="U16:X16"/>
    <mergeCell ref="Y16:AB16"/>
    <mergeCell ref="AC17:AE17"/>
    <mergeCell ref="AF17:AG17"/>
    <mergeCell ref="AH17:AI17"/>
    <mergeCell ref="AJ17:AO17"/>
    <mergeCell ref="B17:G17"/>
    <mergeCell ref="H17:I17"/>
    <mergeCell ref="J17:L17"/>
    <mergeCell ref="M17:Q17"/>
    <mergeCell ref="R17:T17"/>
    <mergeCell ref="U17:X17"/>
    <mergeCell ref="Y17:AB17"/>
    <mergeCell ref="AC18:AE18"/>
    <mergeCell ref="AF18:AG18"/>
    <mergeCell ref="AH18:AI18"/>
    <mergeCell ref="AJ18:AO18"/>
    <mergeCell ref="B18:G18"/>
    <mergeCell ref="H18:I18"/>
    <mergeCell ref="J18:L18"/>
    <mergeCell ref="M18:Q18"/>
    <mergeCell ref="R18:T18"/>
    <mergeCell ref="U18:X18"/>
    <mergeCell ref="Y18:AB18"/>
    <mergeCell ref="AC19:AE19"/>
    <mergeCell ref="AF19:AG19"/>
    <mergeCell ref="AH19:AI19"/>
    <mergeCell ref="AJ19:AO19"/>
    <mergeCell ref="B19:G19"/>
    <mergeCell ref="H19:I19"/>
    <mergeCell ref="J19:L19"/>
    <mergeCell ref="M19:Q19"/>
    <mergeCell ref="R19:T19"/>
    <mergeCell ref="U19:X19"/>
    <mergeCell ref="Y19:AB19"/>
    <mergeCell ref="AC20:AE20"/>
    <mergeCell ref="AF20:AG20"/>
    <mergeCell ref="AH20:AI20"/>
    <mergeCell ref="AJ20:AO20"/>
    <mergeCell ref="B20:G20"/>
    <mergeCell ref="H20:I20"/>
    <mergeCell ref="J20:L20"/>
    <mergeCell ref="M20:Q20"/>
    <mergeCell ref="R20:T20"/>
    <mergeCell ref="U20:X20"/>
    <mergeCell ref="Y20:AB20"/>
    <mergeCell ref="AC21:AE21"/>
    <mergeCell ref="AF21:AG21"/>
    <mergeCell ref="AH21:AI21"/>
    <mergeCell ref="AJ21:AO21"/>
    <mergeCell ref="B21:G21"/>
    <mergeCell ref="H21:I21"/>
    <mergeCell ref="J21:L21"/>
    <mergeCell ref="M21:Q21"/>
    <mergeCell ref="R21:T21"/>
    <mergeCell ref="U21:X21"/>
    <mergeCell ref="Y21:AB21"/>
    <mergeCell ref="AC22:AE22"/>
    <mergeCell ref="AF22:AG22"/>
    <mergeCell ref="AH22:AI22"/>
    <mergeCell ref="AJ22:AO22"/>
    <mergeCell ref="B22:G22"/>
    <mergeCell ref="H22:I22"/>
    <mergeCell ref="J22:L22"/>
    <mergeCell ref="M22:Q22"/>
    <mergeCell ref="R22:T22"/>
    <mergeCell ref="U22:X22"/>
    <mergeCell ref="Y22:AB22"/>
    <mergeCell ref="AC23:AE23"/>
    <mergeCell ref="AF23:AG23"/>
    <mergeCell ref="AH23:AI23"/>
    <mergeCell ref="AJ23:AO23"/>
    <mergeCell ref="B23:G23"/>
    <mergeCell ref="H23:I23"/>
    <mergeCell ref="J23:L23"/>
    <mergeCell ref="M23:Q23"/>
    <mergeCell ref="R23:T23"/>
    <mergeCell ref="U23:X23"/>
    <mergeCell ref="Y23:AB23"/>
    <mergeCell ref="AC24:AE24"/>
    <mergeCell ref="AF24:AG24"/>
    <mergeCell ref="AH24:AI24"/>
    <mergeCell ref="AJ24:AO24"/>
    <mergeCell ref="B24:G24"/>
    <mergeCell ref="H24:I24"/>
    <mergeCell ref="J24:L24"/>
    <mergeCell ref="M24:Q24"/>
    <mergeCell ref="R24:T24"/>
    <mergeCell ref="U24:X24"/>
    <mergeCell ref="Y24:AB24"/>
    <mergeCell ref="AC25:AE25"/>
    <mergeCell ref="AF25:AG25"/>
    <mergeCell ref="AH25:AI25"/>
    <mergeCell ref="AJ25:AO25"/>
    <mergeCell ref="B25:G25"/>
    <mergeCell ref="H25:I25"/>
    <mergeCell ref="J25:L25"/>
    <mergeCell ref="M25:Q25"/>
    <mergeCell ref="R25:T25"/>
    <mergeCell ref="U25:X25"/>
    <mergeCell ref="Y25:AB25"/>
    <mergeCell ref="AC26:AE26"/>
    <mergeCell ref="AF26:AG26"/>
    <mergeCell ref="AH26:AI26"/>
    <mergeCell ref="AJ26:AO26"/>
    <mergeCell ref="B26:G26"/>
    <mergeCell ref="H26:I26"/>
    <mergeCell ref="J26:L26"/>
    <mergeCell ref="M26:Q26"/>
    <mergeCell ref="R26:T26"/>
    <mergeCell ref="U26:X26"/>
    <mergeCell ref="Y26:AB26"/>
    <mergeCell ref="AC27:AE27"/>
    <mergeCell ref="AF27:AG27"/>
    <mergeCell ref="AH27:AI27"/>
    <mergeCell ref="AJ27:AO27"/>
    <mergeCell ref="B27:G27"/>
    <mergeCell ref="H27:I27"/>
    <mergeCell ref="J27:L27"/>
    <mergeCell ref="M27:Q27"/>
    <mergeCell ref="R27:T27"/>
    <mergeCell ref="U27:X27"/>
    <mergeCell ref="Y27:AB27"/>
    <mergeCell ref="AC28:AE28"/>
    <mergeCell ref="AF28:AG28"/>
    <mergeCell ref="AH28:AI28"/>
    <mergeCell ref="AJ28:AO28"/>
    <mergeCell ref="B28:G28"/>
    <mergeCell ref="H28:I28"/>
    <mergeCell ref="J28:L28"/>
    <mergeCell ref="M28:Q28"/>
    <mergeCell ref="R28:T28"/>
    <mergeCell ref="U28:X28"/>
    <mergeCell ref="Y28:AB28"/>
    <mergeCell ref="AC29:AE29"/>
    <mergeCell ref="AF29:AG29"/>
    <mergeCell ref="AH29:AI29"/>
    <mergeCell ref="AJ29:AO29"/>
    <mergeCell ref="B29:G29"/>
    <mergeCell ref="H29:I29"/>
    <mergeCell ref="J29:L29"/>
    <mergeCell ref="M29:Q29"/>
    <mergeCell ref="R29:T29"/>
    <mergeCell ref="U29:X29"/>
    <mergeCell ref="Y29:AB29"/>
    <mergeCell ref="AC30:AE30"/>
    <mergeCell ref="AF30:AG30"/>
    <mergeCell ref="AH30:AI30"/>
    <mergeCell ref="AJ30:AO30"/>
    <mergeCell ref="B30:G30"/>
    <mergeCell ref="H30:I30"/>
    <mergeCell ref="J30:L30"/>
    <mergeCell ref="M30:Q30"/>
    <mergeCell ref="R30:T30"/>
    <mergeCell ref="U30:X30"/>
    <mergeCell ref="Y30:AB30"/>
    <mergeCell ref="AC31:AE31"/>
    <mergeCell ref="AF31:AG31"/>
    <mergeCell ref="AH31:AI31"/>
    <mergeCell ref="AJ31:AO31"/>
    <mergeCell ref="B31:G31"/>
    <mergeCell ref="H31:I31"/>
    <mergeCell ref="J31:L31"/>
    <mergeCell ref="M31:Q31"/>
    <mergeCell ref="R31:T31"/>
    <mergeCell ref="U31:X31"/>
    <mergeCell ref="Y31:AB31"/>
    <mergeCell ref="AC32:AE32"/>
    <mergeCell ref="AF32:AG32"/>
    <mergeCell ref="AH32:AI32"/>
    <mergeCell ref="AJ32:AO32"/>
    <mergeCell ref="B32:G32"/>
    <mergeCell ref="H32:I32"/>
    <mergeCell ref="J32:L32"/>
    <mergeCell ref="M32:Q32"/>
    <mergeCell ref="R32:T32"/>
    <mergeCell ref="U32:X32"/>
    <mergeCell ref="Y32:AB32"/>
    <mergeCell ref="AC33:AE33"/>
    <mergeCell ref="AF33:AG33"/>
    <mergeCell ref="AH33:AI33"/>
    <mergeCell ref="AJ33:AO33"/>
    <mergeCell ref="B33:G33"/>
    <mergeCell ref="H33:I33"/>
    <mergeCell ref="J33:L33"/>
    <mergeCell ref="M33:Q33"/>
    <mergeCell ref="R33:T33"/>
    <mergeCell ref="U33:X33"/>
    <mergeCell ref="Y33:AB33"/>
    <mergeCell ref="AC34:AE34"/>
    <mergeCell ref="AF34:AG34"/>
    <mergeCell ref="AH34:AI34"/>
    <mergeCell ref="AJ34:AO34"/>
    <mergeCell ref="B34:G34"/>
    <mergeCell ref="H34:I34"/>
    <mergeCell ref="J34:L34"/>
    <mergeCell ref="M34:Q34"/>
    <mergeCell ref="R34:T34"/>
    <mergeCell ref="U34:X34"/>
    <mergeCell ref="Y34:AB34"/>
    <mergeCell ref="AC35:AE35"/>
    <mergeCell ref="AF35:AG35"/>
    <mergeCell ref="AH35:AI35"/>
    <mergeCell ref="AJ35:AO35"/>
    <mergeCell ref="B35:G35"/>
    <mergeCell ref="H35:I35"/>
    <mergeCell ref="J35:L35"/>
    <mergeCell ref="M35:Q35"/>
    <mergeCell ref="R35:T35"/>
    <mergeCell ref="U35:X35"/>
    <mergeCell ref="Y35:AB35"/>
    <mergeCell ref="AC36:AE36"/>
    <mergeCell ref="AF36:AG36"/>
    <mergeCell ref="AH36:AI36"/>
    <mergeCell ref="AJ36:AO36"/>
    <mergeCell ref="B36:G36"/>
    <mergeCell ref="H36:I36"/>
    <mergeCell ref="J36:L36"/>
    <mergeCell ref="M36:Q36"/>
    <mergeCell ref="R36:T36"/>
    <mergeCell ref="U36:X36"/>
    <mergeCell ref="Y36:AB36"/>
    <mergeCell ref="AC37:AE37"/>
    <mergeCell ref="AF37:AG37"/>
    <mergeCell ref="AH37:AI37"/>
    <mergeCell ref="AJ37:AO37"/>
    <mergeCell ref="B37:G37"/>
    <mergeCell ref="H37:I37"/>
    <mergeCell ref="J37:L37"/>
    <mergeCell ref="M37:Q37"/>
    <mergeCell ref="R37:T37"/>
    <mergeCell ref="U37:X37"/>
    <mergeCell ref="Y37:AB37"/>
    <mergeCell ref="AC38:AE38"/>
    <mergeCell ref="AF38:AG38"/>
    <mergeCell ref="AH38:AI38"/>
    <mergeCell ref="AJ38:AO38"/>
    <mergeCell ref="B38:G38"/>
    <mergeCell ref="H38:I38"/>
    <mergeCell ref="J38:L38"/>
    <mergeCell ref="M38:Q38"/>
    <mergeCell ref="R38:T38"/>
    <mergeCell ref="U38:X38"/>
    <mergeCell ref="Y38:AB38"/>
    <mergeCell ref="AC39:AE39"/>
    <mergeCell ref="AF39:AG39"/>
    <mergeCell ref="AH39:AI39"/>
    <mergeCell ref="AJ39:AO39"/>
    <mergeCell ref="B39:G39"/>
    <mergeCell ref="H39:I39"/>
    <mergeCell ref="J39:L39"/>
    <mergeCell ref="M39:Q39"/>
    <mergeCell ref="R39:T39"/>
    <mergeCell ref="U39:X39"/>
    <mergeCell ref="Y39:AB39"/>
    <mergeCell ref="AC40:AE40"/>
    <mergeCell ref="AF40:AG40"/>
    <mergeCell ref="AH40:AI40"/>
    <mergeCell ref="AJ40:AO40"/>
    <mergeCell ref="B40:G40"/>
    <mergeCell ref="H40:I40"/>
    <mergeCell ref="J40:L40"/>
    <mergeCell ref="M40:Q40"/>
    <mergeCell ref="R40:T40"/>
    <mergeCell ref="U40:X40"/>
    <mergeCell ref="Y40:AB40"/>
    <mergeCell ref="AC41:AE41"/>
    <mergeCell ref="AF41:AG41"/>
    <mergeCell ref="AH41:AI41"/>
    <mergeCell ref="AJ41:AO41"/>
    <mergeCell ref="B41:G41"/>
    <mergeCell ref="H41:I41"/>
    <mergeCell ref="J41:L41"/>
    <mergeCell ref="M41:Q41"/>
    <mergeCell ref="R41:T41"/>
    <mergeCell ref="U41:X41"/>
    <mergeCell ref="Y41:AB41"/>
    <mergeCell ref="AC42:AE42"/>
    <mergeCell ref="AF42:AG42"/>
    <mergeCell ref="AH42:AI42"/>
    <mergeCell ref="AJ42:AO42"/>
    <mergeCell ref="B42:G42"/>
    <mergeCell ref="H42:I42"/>
    <mergeCell ref="J42:L42"/>
    <mergeCell ref="M42:Q42"/>
    <mergeCell ref="R42:T42"/>
    <mergeCell ref="U42:X42"/>
    <mergeCell ref="Y42:AB42"/>
    <mergeCell ref="AC43:AE43"/>
    <mergeCell ref="AF43:AG43"/>
    <mergeCell ref="AH43:AI43"/>
    <mergeCell ref="AJ43:AO43"/>
    <mergeCell ref="B43:G43"/>
    <mergeCell ref="H43:I43"/>
    <mergeCell ref="J43:L43"/>
    <mergeCell ref="M43:Q43"/>
    <mergeCell ref="R43:T43"/>
    <mergeCell ref="U43:X43"/>
    <mergeCell ref="Y43:AB43"/>
    <mergeCell ref="AC44:AE44"/>
    <mergeCell ref="AF44:AG44"/>
    <mergeCell ref="AH44:AI44"/>
    <mergeCell ref="AJ44:AO44"/>
    <mergeCell ref="B44:G44"/>
    <mergeCell ref="H44:I44"/>
    <mergeCell ref="J44:L44"/>
    <mergeCell ref="M44:Q44"/>
    <mergeCell ref="R44:T44"/>
    <mergeCell ref="U44:X44"/>
    <mergeCell ref="Y44:AB44"/>
    <mergeCell ref="AC45:AE45"/>
    <mergeCell ref="AF45:AG45"/>
    <mergeCell ref="AH45:AI45"/>
    <mergeCell ref="AJ45:AO45"/>
    <mergeCell ref="B45:G45"/>
    <mergeCell ref="H45:I45"/>
    <mergeCell ref="J45:L45"/>
    <mergeCell ref="M45:Q45"/>
    <mergeCell ref="R45:T45"/>
    <mergeCell ref="U45:X45"/>
    <mergeCell ref="Y45:AB45"/>
    <mergeCell ref="AC46:AE46"/>
    <mergeCell ref="AF46:AG46"/>
    <mergeCell ref="AH46:AI46"/>
    <mergeCell ref="AJ46:AO46"/>
    <mergeCell ref="B46:G46"/>
    <mergeCell ref="H46:I46"/>
    <mergeCell ref="J46:L46"/>
    <mergeCell ref="M46:Q46"/>
    <mergeCell ref="R46:T46"/>
    <mergeCell ref="U46:X46"/>
    <mergeCell ref="Y46:AB46"/>
    <mergeCell ref="AC47:AE47"/>
    <mergeCell ref="AF47:AG47"/>
    <mergeCell ref="AH47:AI47"/>
    <mergeCell ref="AJ47:AO47"/>
    <mergeCell ref="B47:G47"/>
    <mergeCell ref="H47:I47"/>
    <mergeCell ref="J47:L47"/>
    <mergeCell ref="M47:Q47"/>
    <mergeCell ref="R47:T47"/>
    <mergeCell ref="U47:X47"/>
    <mergeCell ref="Y47:AB47"/>
    <mergeCell ref="AC48:AE48"/>
    <mergeCell ref="AF48:AG48"/>
    <mergeCell ref="AH48:AI48"/>
    <mergeCell ref="AJ48:AO48"/>
    <mergeCell ref="B48:G48"/>
    <mergeCell ref="H48:I48"/>
    <mergeCell ref="J48:L48"/>
    <mergeCell ref="M48:Q48"/>
    <mergeCell ref="R48:T48"/>
    <mergeCell ref="U48:X48"/>
    <mergeCell ref="Y48:AB48"/>
    <mergeCell ref="AC49:AE49"/>
    <mergeCell ref="AF49:AG49"/>
    <mergeCell ref="AH49:AI49"/>
    <mergeCell ref="AJ49:AO49"/>
    <mergeCell ref="B49:G49"/>
    <mergeCell ref="H49:I49"/>
    <mergeCell ref="J49:L49"/>
    <mergeCell ref="M49:Q49"/>
    <mergeCell ref="R49:T49"/>
    <mergeCell ref="U49:X49"/>
    <mergeCell ref="Y49:AB49"/>
    <mergeCell ref="AC50:AE50"/>
    <mergeCell ref="AF50:AG50"/>
    <mergeCell ref="AH50:AI50"/>
    <mergeCell ref="AJ50:AO50"/>
    <mergeCell ref="B50:G50"/>
    <mergeCell ref="H50:I50"/>
    <mergeCell ref="J50:L50"/>
    <mergeCell ref="M50:Q50"/>
    <mergeCell ref="R50:T50"/>
    <mergeCell ref="U50:X50"/>
    <mergeCell ref="Y50:AB50"/>
    <mergeCell ref="AC51:AE51"/>
    <mergeCell ref="AF51:AG51"/>
    <mergeCell ref="AH51:AI51"/>
    <mergeCell ref="AJ51:AO51"/>
    <mergeCell ref="B51:G51"/>
    <mergeCell ref="H51:I51"/>
    <mergeCell ref="J51:L51"/>
    <mergeCell ref="M51:Q51"/>
    <mergeCell ref="R51:T51"/>
    <mergeCell ref="U51:X51"/>
    <mergeCell ref="Y51:AB51"/>
    <mergeCell ref="AC52:AE52"/>
    <mergeCell ref="AF52:AG52"/>
    <mergeCell ref="AH52:AI52"/>
    <mergeCell ref="AJ52:AO52"/>
    <mergeCell ref="B52:G52"/>
    <mergeCell ref="H52:I52"/>
    <mergeCell ref="J52:L52"/>
    <mergeCell ref="M52:Q52"/>
    <mergeCell ref="R52:T52"/>
    <mergeCell ref="U52:X52"/>
    <mergeCell ref="Y52:AB52"/>
    <mergeCell ref="AC53:AE53"/>
    <mergeCell ref="AF53:AG53"/>
    <mergeCell ref="AH53:AI53"/>
    <mergeCell ref="AJ53:AO53"/>
    <mergeCell ref="B53:G53"/>
    <mergeCell ref="H53:I53"/>
    <mergeCell ref="J53:L53"/>
    <mergeCell ref="M53:Q53"/>
    <mergeCell ref="R53:T53"/>
    <mergeCell ref="U53:X53"/>
    <mergeCell ref="Y53:AB53"/>
    <mergeCell ref="AC54:AE54"/>
    <mergeCell ref="AF54:AG54"/>
    <mergeCell ref="AH54:AI54"/>
    <mergeCell ref="AJ54:AO54"/>
    <mergeCell ref="B54:G54"/>
    <mergeCell ref="H54:I54"/>
    <mergeCell ref="J54:L54"/>
    <mergeCell ref="M54:Q54"/>
    <mergeCell ref="R54:T54"/>
    <mergeCell ref="U54:X54"/>
    <mergeCell ref="Y54:AB54"/>
    <mergeCell ref="AC55:AE55"/>
    <mergeCell ref="AF55:AG55"/>
    <mergeCell ref="AH55:AI55"/>
    <mergeCell ref="AJ55:AO55"/>
    <mergeCell ref="B55:G55"/>
    <mergeCell ref="H55:I55"/>
    <mergeCell ref="J55:L55"/>
    <mergeCell ref="M55:Q55"/>
    <mergeCell ref="R55:T55"/>
    <mergeCell ref="U55:X55"/>
    <mergeCell ref="Y55:AB55"/>
    <mergeCell ref="AC56:AE56"/>
    <mergeCell ref="AF56:AG56"/>
    <mergeCell ref="AH56:AI56"/>
    <mergeCell ref="AJ56:AO56"/>
    <mergeCell ref="B56:G56"/>
    <mergeCell ref="H56:I56"/>
    <mergeCell ref="J56:L56"/>
    <mergeCell ref="M56:Q56"/>
    <mergeCell ref="R56:T56"/>
    <mergeCell ref="U56:X56"/>
    <mergeCell ref="Y56:AB56"/>
    <mergeCell ref="AC57:AE57"/>
    <mergeCell ref="AF57:AG57"/>
    <mergeCell ref="AH57:AI57"/>
    <mergeCell ref="AJ57:AO57"/>
    <mergeCell ref="B57:G57"/>
    <mergeCell ref="H57:I57"/>
    <mergeCell ref="J57:L57"/>
    <mergeCell ref="M57:Q57"/>
    <mergeCell ref="R57:T57"/>
    <mergeCell ref="U57:X57"/>
    <mergeCell ref="Y57:AB57"/>
    <mergeCell ref="AC58:AE58"/>
    <mergeCell ref="AF58:AG58"/>
    <mergeCell ref="AH58:AI58"/>
    <mergeCell ref="AJ58:AO58"/>
    <mergeCell ref="B58:G58"/>
    <mergeCell ref="H58:I58"/>
    <mergeCell ref="J58:L58"/>
    <mergeCell ref="M58:Q58"/>
    <mergeCell ref="R58:T58"/>
    <mergeCell ref="U58:X58"/>
    <mergeCell ref="Y58:AB58"/>
    <mergeCell ref="AC59:AE59"/>
    <mergeCell ref="AF59:AG59"/>
    <mergeCell ref="AH59:AI59"/>
    <mergeCell ref="AJ59:AO59"/>
    <mergeCell ref="B59:G59"/>
    <mergeCell ref="H59:I59"/>
    <mergeCell ref="J59:L59"/>
    <mergeCell ref="M59:Q59"/>
    <mergeCell ref="R59:T59"/>
    <mergeCell ref="U59:X59"/>
    <mergeCell ref="Y59:AB59"/>
    <mergeCell ref="AC60:AE60"/>
    <mergeCell ref="AF60:AG60"/>
    <mergeCell ref="AH60:AI60"/>
    <mergeCell ref="AJ60:AO60"/>
    <mergeCell ref="B60:G60"/>
    <mergeCell ref="H60:I60"/>
    <mergeCell ref="J60:L60"/>
    <mergeCell ref="M60:Q60"/>
    <mergeCell ref="R60:T60"/>
    <mergeCell ref="U60:X60"/>
    <mergeCell ref="Y60:AB60"/>
    <mergeCell ref="AC61:AE61"/>
    <mergeCell ref="AF61:AG61"/>
    <mergeCell ref="AH61:AI61"/>
    <mergeCell ref="AJ61:AO61"/>
    <mergeCell ref="B61:G61"/>
    <mergeCell ref="H61:I61"/>
    <mergeCell ref="J61:L61"/>
    <mergeCell ref="M61:Q61"/>
    <mergeCell ref="R61:T61"/>
    <mergeCell ref="U61:X61"/>
    <mergeCell ref="Y61:AB61"/>
    <mergeCell ref="AC62:AE62"/>
    <mergeCell ref="AF62:AG62"/>
    <mergeCell ref="AH62:AI62"/>
    <mergeCell ref="AJ62:AO62"/>
    <mergeCell ref="B62:G62"/>
    <mergeCell ref="H62:I62"/>
    <mergeCell ref="J62:L62"/>
    <mergeCell ref="M62:Q62"/>
    <mergeCell ref="R62:T62"/>
    <mergeCell ref="U62:X62"/>
    <mergeCell ref="Y62:AB62"/>
    <mergeCell ref="AC63:AE63"/>
    <mergeCell ref="AF63:AG63"/>
    <mergeCell ref="AH63:AI63"/>
    <mergeCell ref="AJ63:AO63"/>
    <mergeCell ref="B63:G63"/>
    <mergeCell ref="H63:I63"/>
    <mergeCell ref="J63:L63"/>
    <mergeCell ref="M63:Q63"/>
    <mergeCell ref="R63:T63"/>
    <mergeCell ref="U63:X63"/>
    <mergeCell ref="Y63:AB63"/>
    <mergeCell ref="AC64:AE64"/>
    <mergeCell ref="AF64:AG64"/>
    <mergeCell ref="AH64:AI64"/>
    <mergeCell ref="AJ64:AO64"/>
    <mergeCell ref="B64:G64"/>
    <mergeCell ref="H64:I64"/>
    <mergeCell ref="J64:L64"/>
    <mergeCell ref="M64:Q64"/>
    <mergeCell ref="R64:T64"/>
    <mergeCell ref="U64:X64"/>
    <mergeCell ref="Y64:AB64"/>
    <mergeCell ref="AC65:AE65"/>
    <mergeCell ref="AF65:AG65"/>
    <mergeCell ref="AH65:AI65"/>
    <mergeCell ref="AJ65:AO65"/>
    <mergeCell ref="B65:G65"/>
    <mergeCell ref="H65:I65"/>
    <mergeCell ref="J65:L65"/>
    <mergeCell ref="M65:Q65"/>
    <mergeCell ref="R65:T65"/>
    <mergeCell ref="U65:X65"/>
    <mergeCell ref="Y65:AB65"/>
    <mergeCell ref="AC66:AE66"/>
    <mergeCell ref="AF66:AG66"/>
    <mergeCell ref="AH66:AI66"/>
    <mergeCell ref="AJ66:AO66"/>
    <mergeCell ref="B66:G66"/>
    <mergeCell ref="H66:I66"/>
    <mergeCell ref="J66:L66"/>
    <mergeCell ref="M66:Q66"/>
    <mergeCell ref="R66:T66"/>
    <mergeCell ref="U66:X66"/>
    <mergeCell ref="Y66:AB66"/>
    <mergeCell ref="AC67:AE67"/>
    <mergeCell ref="AF67:AG67"/>
    <mergeCell ref="AH67:AI67"/>
    <mergeCell ref="AJ67:AO67"/>
    <mergeCell ref="B67:G67"/>
    <mergeCell ref="H67:I67"/>
    <mergeCell ref="J67:L67"/>
    <mergeCell ref="M67:Q67"/>
    <mergeCell ref="R67:T67"/>
    <mergeCell ref="U67:X67"/>
    <mergeCell ref="Y67:AB67"/>
    <mergeCell ref="AC68:AE68"/>
    <mergeCell ref="AF68:AG68"/>
    <mergeCell ref="AH68:AI68"/>
    <mergeCell ref="AJ68:AO68"/>
    <mergeCell ref="B68:G68"/>
    <mergeCell ref="H68:I68"/>
    <mergeCell ref="J68:L68"/>
    <mergeCell ref="M68:Q68"/>
    <mergeCell ref="R68:T68"/>
    <mergeCell ref="U68:X68"/>
    <mergeCell ref="Y68:AB68"/>
    <mergeCell ref="AC69:AE69"/>
    <mergeCell ref="AF69:AG69"/>
    <mergeCell ref="AH69:AI69"/>
    <mergeCell ref="AJ69:AO69"/>
    <mergeCell ref="B69:G69"/>
    <mergeCell ref="H69:I69"/>
    <mergeCell ref="J69:L69"/>
    <mergeCell ref="M69:Q69"/>
    <mergeCell ref="R69:T69"/>
    <mergeCell ref="U69:X69"/>
    <mergeCell ref="Y69:AB69"/>
    <mergeCell ref="AC70:AE70"/>
    <mergeCell ref="AF70:AG70"/>
    <mergeCell ref="AH70:AI70"/>
    <mergeCell ref="AJ70:AO70"/>
    <mergeCell ref="B70:G70"/>
    <mergeCell ref="H70:I70"/>
    <mergeCell ref="J70:L70"/>
    <mergeCell ref="M70:Q70"/>
    <mergeCell ref="R70:T70"/>
    <mergeCell ref="U70:X70"/>
    <mergeCell ref="Y70:AB70"/>
    <mergeCell ref="AC71:AE71"/>
    <mergeCell ref="AF71:AG71"/>
    <mergeCell ref="AH71:AI71"/>
    <mergeCell ref="AJ71:AO71"/>
    <mergeCell ref="B71:G71"/>
    <mergeCell ref="H71:I71"/>
    <mergeCell ref="J71:L71"/>
    <mergeCell ref="M71:Q71"/>
    <mergeCell ref="R71:T71"/>
    <mergeCell ref="U71:X71"/>
    <mergeCell ref="Y71:AB71"/>
    <mergeCell ref="AC72:AE72"/>
    <mergeCell ref="AF72:AG72"/>
    <mergeCell ref="AH72:AI72"/>
    <mergeCell ref="AJ72:AO72"/>
    <mergeCell ref="B72:G72"/>
    <mergeCell ref="H72:I72"/>
    <mergeCell ref="J72:L72"/>
    <mergeCell ref="M72:Q72"/>
    <mergeCell ref="R72:T72"/>
    <mergeCell ref="U72:X72"/>
    <mergeCell ref="Y72:AB72"/>
    <mergeCell ref="AC73:AE73"/>
    <mergeCell ref="AF73:AG73"/>
    <mergeCell ref="AH73:AI73"/>
    <mergeCell ref="AJ73:AO73"/>
    <mergeCell ref="B73:G73"/>
    <mergeCell ref="H73:I73"/>
    <mergeCell ref="J73:L73"/>
    <mergeCell ref="M73:Q73"/>
    <mergeCell ref="R73:T73"/>
    <mergeCell ref="U73:X73"/>
    <mergeCell ref="Y73:AB73"/>
    <mergeCell ref="AC74:AE74"/>
    <mergeCell ref="AF74:AG74"/>
    <mergeCell ref="AH74:AI74"/>
    <mergeCell ref="AJ74:AO74"/>
    <mergeCell ref="B74:G74"/>
    <mergeCell ref="H74:I74"/>
    <mergeCell ref="J74:L74"/>
    <mergeCell ref="M74:Q74"/>
    <mergeCell ref="R74:T74"/>
    <mergeCell ref="U74:X74"/>
    <mergeCell ref="Y74:AB74"/>
    <mergeCell ref="AC75:AE75"/>
    <mergeCell ref="AF75:AG75"/>
    <mergeCell ref="AH75:AI75"/>
    <mergeCell ref="AJ75:AO75"/>
    <mergeCell ref="B75:G75"/>
    <mergeCell ref="H75:I75"/>
    <mergeCell ref="J75:L75"/>
    <mergeCell ref="M75:Q75"/>
    <mergeCell ref="R75:T75"/>
    <mergeCell ref="U75:X75"/>
    <mergeCell ref="Y75:AB75"/>
    <mergeCell ref="AC76:AE76"/>
    <mergeCell ref="AF76:AG76"/>
    <mergeCell ref="AH76:AI76"/>
    <mergeCell ref="AJ76:AO76"/>
    <mergeCell ref="B76:G76"/>
    <mergeCell ref="H76:I76"/>
    <mergeCell ref="J76:L76"/>
    <mergeCell ref="M76:Q76"/>
    <mergeCell ref="R76:T76"/>
    <mergeCell ref="U76:X76"/>
    <mergeCell ref="Y76:AB76"/>
    <mergeCell ref="AC77:AE77"/>
    <mergeCell ref="AF77:AG77"/>
    <mergeCell ref="AH77:AI77"/>
    <mergeCell ref="AJ77:AO77"/>
    <mergeCell ref="B77:G77"/>
    <mergeCell ref="H77:I77"/>
    <mergeCell ref="J77:L77"/>
    <mergeCell ref="M77:Q77"/>
    <mergeCell ref="R77:T77"/>
    <mergeCell ref="U77:X77"/>
    <mergeCell ref="Y77:AB77"/>
    <mergeCell ref="AC78:AE78"/>
    <mergeCell ref="AF78:AG78"/>
    <mergeCell ref="AH78:AI78"/>
    <mergeCell ref="AJ78:AO78"/>
    <mergeCell ref="B78:G78"/>
    <mergeCell ref="H78:I78"/>
    <mergeCell ref="J78:L78"/>
    <mergeCell ref="M78:Q78"/>
    <mergeCell ref="R78:T78"/>
    <mergeCell ref="U78:X78"/>
    <mergeCell ref="Y78:AB78"/>
    <mergeCell ref="AC79:AE79"/>
    <mergeCell ref="AF79:AG79"/>
    <mergeCell ref="AH79:AI79"/>
    <mergeCell ref="AJ79:AO79"/>
    <mergeCell ref="B79:G79"/>
    <mergeCell ref="H79:I79"/>
    <mergeCell ref="J79:L79"/>
    <mergeCell ref="M79:Q79"/>
    <mergeCell ref="R79:T79"/>
    <mergeCell ref="U79:X79"/>
    <mergeCell ref="Y79:AB79"/>
    <mergeCell ref="AC80:AE80"/>
    <mergeCell ref="AF80:AG80"/>
    <mergeCell ref="AH80:AI80"/>
    <mergeCell ref="AJ80:AO80"/>
    <mergeCell ref="B80:G80"/>
    <mergeCell ref="H80:I80"/>
    <mergeCell ref="J80:L80"/>
    <mergeCell ref="M80:Q80"/>
    <mergeCell ref="R80:T80"/>
    <mergeCell ref="U80:X80"/>
    <mergeCell ref="Y80:AB80"/>
    <mergeCell ref="AC81:AE81"/>
    <mergeCell ref="AF81:AG81"/>
    <mergeCell ref="AH81:AI81"/>
    <mergeCell ref="AJ81:AO81"/>
    <mergeCell ref="B81:G81"/>
    <mergeCell ref="H81:I81"/>
    <mergeCell ref="J81:L81"/>
    <mergeCell ref="M81:Q81"/>
    <mergeCell ref="R81:T81"/>
    <mergeCell ref="U81:X81"/>
    <mergeCell ref="Y81:AB81"/>
    <mergeCell ref="AC82:AE82"/>
    <mergeCell ref="AF82:AG82"/>
    <mergeCell ref="AH82:AI82"/>
    <mergeCell ref="AJ82:AO82"/>
    <mergeCell ref="B82:G82"/>
    <mergeCell ref="H82:I82"/>
    <mergeCell ref="J82:L82"/>
    <mergeCell ref="M82:Q82"/>
    <mergeCell ref="R82:T82"/>
    <mergeCell ref="U82:X82"/>
    <mergeCell ref="Y82:AB82"/>
    <mergeCell ref="AC83:AE83"/>
    <mergeCell ref="AF83:AG83"/>
    <mergeCell ref="AH83:AI83"/>
    <mergeCell ref="AJ83:AO83"/>
    <mergeCell ref="B83:G83"/>
    <mergeCell ref="H83:I83"/>
    <mergeCell ref="J83:L83"/>
    <mergeCell ref="M83:Q83"/>
    <mergeCell ref="R83:T83"/>
    <mergeCell ref="U83:X83"/>
    <mergeCell ref="Y83:AB83"/>
    <mergeCell ref="AC84:AE84"/>
    <mergeCell ref="AF84:AG84"/>
    <mergeCell ref="AH84:AI84"/>
    <mergeCell ref="AJ84:AO84"/>
    <mergeCell ref="B84:G84"/>
    <mergeCell ref="H84:I84"/>
    <mergeCell ref="J84:L84"/>
    <mergeCell ref="M84:Q84"/>
    <mergeCell ref="R84:T84"/>
    <mergeCell ref="U84:X84"/>
    <mergeCell ref="Y84:AB84"/>
    <mergeCell ref="AC85:AE85"/>
    <mergeCell ref="AF85:AG85"/>
    <mergeCell ref="AH85:AI85"/>
    <mergeCell ref="AJ85:AO85"/>
    <mergeCell ref="B85:G85"/>
    <mergeCell ref="H85:I85"/>
    <mergeCell ref="J85:L85"/>
    <mergeCell ref="M85:Q85"/>
    <mergeCell ref="R85:T85"/>
    <mergeCell ref="U85:X85"/>
    <mergeCell ref="Y85:AB85"/>
    <mergeCell ref="AC86:AE86"/>
    <mergeCell ref="AF86:AG86"/>
    <mergeCell ref="AH86:AI86"/>
    <mergeCell ref="AJ86:AO86"/>
    <mergeCell ref="B86:G86"/>
    <mergeCell ref="H86:I86"/>
    <mergeCell ref="J86:L86"/>
    <mergeCell ref="M86:Q86"/>
    <mergeCell ref="R86:T86"/>
    <mergeCell ref="U86:X86"/>
    <mergeCell ref="Y86:AB86"/>
    <mergeCell ref="AC87:AE87"/>
    <mergeCell ref="AF87:AG87"/>
    <mergeCell ref="AH87:AI87"/>
    <mergeCell ref="AJ87:AO87"/>
    <mergeCell ref="B87:G87"/>
    <mergeCell ref="H87:I87"/>
    <mergeCell ref="J87:L87"/>
    <mergeCell ref="M87:Q87"/>
    <mergeCell ref="R87:T87"/>
    <mergeCell ref="U87:X87"/>
    <mergeCell ref="Y87:AB87"/>
    <mergeCell ref="AC88:AE88"/>
    <mergeCell ref="AF88:AG88"/>
    <mergeCell ref="AH88:AI88"/>
    <mergeCell ref="AJ88:AO88"/>
    <mergeCell ref="B88:G88"/>
    <mergeCell ref="H88:I88"/>
    <mergeCell ref="J88:L88"/>
    <mergeCell ref="M88:Q88"/>
    <mergeCell ref="R88:T88"/>
    <mergeCell ref="U88:X88"/>
    <mergeCell ref="Y88:AB88"/>
    <mergeCell ref="AC89:AE89"/>
    <mergeCell ref="AF89:AG89"/>
    <mergeCell ref="AH89:AI89"/>
    <mergeCell ref="AJ89:AO89"/>
    <mergeCell ref="B89:G89"/>
    <mergeCell ref="H89:I89"/>
    <mergeCell ref="J89:L89"/>
    <mergeCell ref="M89:Q89"/>
    <mergeCell ref="R89:T89"/>
    <mergeCell ref="U89:X89"/>
    <mergeCell ref="Y89:AB89"/>
    <mergeCell ref="AC90:AE90"/>
    <mergeCell ref="AF90:AG90"/>
    <mergeCell ref="AH90:AI90"/>
    <mergeCell ref="AJ90:AO90"/>
    <mergeCell ref="B90:G90"/>
    <mergeCell ref="H90:I90"/>
    <mergeCell ref="J90:L90"/>
    <mergeCell ref="M90:Q90"/>
    <mergeCell ref="R90:T90"/>
    <mergeCell ref="U90:X90"/>
    <mergeCell ref="Y90:AB90"/>
    <mergeCell ref="AC91:AE91"/>
    <mergeCell ref="AF91:AG91"/>
    <mergeCell ref="AH91:AI91"/>
    <mergeCell ref="AJ91:AO91"/>
    <mergeCell ref="B91:G91"/>
    <mergeCell ref="H91:I91"/>
    <mergeCell ref="J91:L91"/>
    <mergeCell ref="M91:Q91"/>
    <mergeCell ref="R91:T91"/>
    <mergeCell ref="U91:X91"/>
    <mergeCell ref="Y91:AB91"/>
    <mergeCell ref="AC92:AE92"/>
    <mergeCell ref="AF92:AG92"/>
    <mergeCell ref="AH92:AI92"/>
    <mergeCell ref="AJ92:AO92"/>
    <mergeCell ref="B92:G92"/>
    <mergeCell ref="H92:I92"/>
    <mergeCell ref="J92:L92"/>
    <mergeCell ref="M92:Q92"/>
    <mergeCell ref="R92:T92"/>
    <mergeCell ref="U92:X92"/>
    <mergeCell ref="Y92:AB92"/>
    <mergeCell ref="AC93:AE93"/>
    <mergeCell ref="AF93:AG93"/>
    <mergeCell ref="AH93:AI93"/>
    <mergeCell ref="AJ93:AO93"/>
    <mergeCell ref="B93:G93"/>
    <mergeCell ref="H93:I93"/>
    <mergeCell ref="J93:L93"/>
    <mergeCell ref="M93:Q93"/>
    <mergeCell ref="R93:T93"/>
    <mergeCell ref="U93:X93"/>
    <mergeCell ref="Y93:AB93"/>
    <mergeCell ref="AC94:AE94"/>
    <mergeCell ref="AF94:AG94"/>
    <mergeCell ref="AH94:AI94"/>
    <mergeCell ref="AJ94:AO94"/>
    <mergeCell ref="B94:G94"/>
    <mergeCell ref="H94:I94"/>
    <mergeCell ref="J94:L94"/>
    <mergeCell ref="M94:Q94"/>
    <mergeCell ref="R94:T94"/>
    <mergeCell ref="U94:X94"/>
    <mergeCell ref="Y94:AB94"/>
    <mergeCell ref="AC95:AE95"/>
    <mergeCell ref="AF95:AG95"/>
    <mergeCell ref="AH95:AI95"/>
    <mergeCell ref="AJ95:AO95"/>
    <mergeCell ref="B95:G95"/>
    <mergeCell ref="H95:I95"/>
    <mergeCell ref="J95:L95"/>
    <mergeCell ref="M95:Q95"/>
    <mergeCell ref="R95:T95"/>
    <mergeCell ref="U95:X95"/>
    <mergeCell ref="Y95:AB95"/>
    <mergeCell ref="AC96:AE96"/>
    <mergeCell ref="AF96:AG96"/>
    <mergeCell ref="AH96:AI96"/>
    <mergeCell ref="AJ96:AO96"/>
    <mergeCell ref="B96:G96"/>
    <mergeCell ref="H96:I96"/>
    <mergeCell ref="J96:L96"/>
    <mergeCell ref="M96:Q96"/>
    <mergeCell ref="R96:T96"/>
    <mergeCell ref="U96:X96"/>
    <mergeCell ref="Y96:AB96"/>
    <mergeCell ref="AC97:AE97"/>
    <mergeCell ref="AF97:AG97"/>
    <mergeCell ref="AH97:AI97"/>
    <mergeCell ref="AJ97:AO97"/>
    <mergeCell ref="B97:G97"/>
    <mergeCell ref="H97:I97"/>
    <mergeCell ref="J97:L97"/>
    <mergeCell ref="M97:Q97"/>
    <mergeCell ref="R97:T97"/>
    <mergeCell ref="U97:X97"/>
    <mergeCell ref="Y97:AB97"/>
    <mergeCell ref="AC98:AE98"/>
    <mergeCell ref="AF98:AG98"/>
    <mergeCell ref="AH98:AI98"/>
    <mergeCell ref="AJ98:AO98"/>
    <mergeCell ref="B98:G98"/>
    <mergeCell ref="H98:I98"/>
    <mergeCell ref="J98:L98"/>
    <mergeCell ref="M98:Q98"/>
    <mergeCell ref="R98:T98"/>
    <mergeCell ref="U98:X98"/>
    <mergeCell ref="Y98:AB98"/>
    <mergeCell ref="AC99:AE99"/>
    <mergeCell ref="AF99:AG99"/>
    <mergeCell ref="AH99:AI99"/>
    <mergeCell ref="AJ99:AO99"/>
    <mergeCell ref="B99:G99"/>
    <mergeCell ref="H99:I99"/>
    <mergeCell ref="J99:L99"/>
    <mergeCell ref="M99:Q99"/>
    <mergeCell ref="R99:T99"/>
    <mergeCell ref="U99:X99"/>
    <mergeCell ref="Y99:AB99"/>
    <mergeCell ref="AC100:AE100"/>
    <mergeCell ref="AF100:AG100"/>
    <mergeCell ref="AH100:AI100"/>
    <mergeCell ref="AJ100:AO100"/>
    <mergeCell ref="B100:G100"/>
    <mergeCell ref="H100:I100"/>
    <mergeCell ref="J100:L100"/>
    <mergeCell ref="M100:Q100"/>
    <mergeCell ref="R100:T100"/>
    <mergeCell ref="U100:X100"/>
    <mergeCell ref="Y100:AB100"/>
    <mergeCell ref="AC101:AE101"/>
    <mergeCell ref="AF101:AG101"/>
    <mergeCell ref="AH101:AI101"/>
    <mergeCell ref="AJ101:AO101"/>
    <mergeCell ref="B101:G101"/>
    <mergeCell ref="H101:I101"/>
    <mergeCell ref="J101:L101"/>
    <mergeCell ref="M101:Q101"/>
    <mergeCell ref="R101:T101"/>
    <mergeCell ref="U101:X101"/>
    <mergeCell ref="Y101:AB101"/>
    <mergeCell ref="AC102:AE102"/>
    <mergeCell ref="AF102:AG102"/>
    <mergeCell ref="AH102:AI102"/>
    <mergeCell ref="AJ102:AO102"/>
    <mergeCell ref="B102:G102"/>
    <mergeCell ref="H102:I102"/>
    <mergeCell ref="J102:L102"/>
    <mergeCell ref="M102:Q102"/>
    <mergeCell ref="R102:T102"/>
    <mergeCell ref="U102:X102"/>
    <mergeCell ref="Y102:AB102"/>
    <mergeCell ref="AC103:AE103"/>
    <mergeCell ref="AF103:AG103"/>
    <mergeCell ref="AH103:AI103"/>
    <mergeCell ref="AJ103:AO103"/>
    <mergeCell ref="B103:G103"/>
    <mergeCell ref="H103:I103"/>
    <mergeCell ref="J103:L103"/>
    <mergeCell ref="M103:Q103"/>
    <mergeCell ref="R103:T103"/>
    <mergeCell ref="U103:X103"/>
    <mergeCell ref="Y103:AB103"/>
    <mergeCell ref="AC104:AE104"/>
    <mergeCell ref="AF104:AG104"/>
    <mergeCell ref="AH104:AI104"/>
    <mergeCell ref="AJ104:AO104"/>
    <mergeCell ref="B104:G104"/>
    <mergeCell ref="H104:I104"/>
    <mergeCell ref="J104:L104"/>
    <mergeCell ref="M104:Q104"/>
    <mergeCell ref="R104:T104"/>
    <mergeCell ref="U104:X104"/>
    <mergeCell ref="Y104:AB104"/>
    <mergeCell ref="AC105:AE105"/>
    <mergeCell ref="AF105:AG105"/>
    <mergeCell ref="AH105:AI105"/>
    <mergeCell ref="AJ105:AO105"/>
    <mergeCell ref="B105:G105"/>
    <mergeCell ref="H105:I105"/>
    <mergeCell ref="J105:L105"/>
    <mergeCell ref="M105:Q105"/>
    <mergeCell ref="R105:T105"/>
    <mergeCell ref="U105:X105"/>
    <mergeCell ref="Y105:AB105"/>
    <mergeCell ref="AC155:AE155"/>
    <mergeCell ref="AF155:AG155"/>
    <mergeCell ref="AH155:AI155"/>
    <mergeCell ref="AJ155:AO155"/>
    <mergeCell ref="B155:G155"/>
    <mergeCell ref="H155:I155"/>
    <mergeCell ref="J155:L155"/>
    <mergeCell ref="M155:Q155"/>
    <mergeCell ref="R155:T155"/>
    <mergeCell ref="U155:X155"/>
    <mergeCell ref="Y155:AB155"/>
    <mergeCell ref="AC156:AE156"/>
    <mergeCell ref="AF156:AG156"/>
    <mergeCell ref="AH156:AI156"/>
    <mergeCell ref="AJ156:AO156"/>
    <mergeCell ref="B156:G156"/>
    <mergeCell ref="H156:I156"/>
    <mergeCell ref="J156:L156"/>
    <mergeCell ref="M156:Q156"/>
    <mergeCell ref="R156:T156"/>
    <mergeCell ref="U156:X156"/>
    <mergeCell ref="Y156:AB156"/>
    <mergeCell ref="AC157:AE157"/>
    <mergeCell ref="AF157:AG157"/>
    <mergeCell ref="AH157:AI157"/>
    <mergeCell ref="AJ157:AO157"/>
    <mergeCell ref="B157:G157"/>
    <mergeCell ref="H157:I157"/>
    <mergeCell ref="J157:L157"/>
    <mergeCell ref="M157:Q157"/>
    <mergeCell ref="R157:T157"/>
    <mergeCell ref="U157:X157"/>
    <mergeCell ref="Y157:AB157"/>
    <mergeCell ref="AC158:AE158"/>
    <mergeCell ref="AF158:AG158"/>
    <mergeCell ref="AH158:AI158"/>
    <mergeCell ref="AJ158:AO158"/>
    <mergeCell ref="B158:G158"/>
    <mergeCell ref="H158:I158"/>
    <mergeCell ref="J158:L158"/>
    <mergeCell ref="M158:Q158"/>
    <mergeCell ref="R158:T158"/>
    <mergeCell ref="U158:X158"/>
    <mergeCell ref="Y158:AB158"/>
    <mergeCell ref="AC159:AE159"/>
    <mergeCell ref="AF159:AG159"/>
    <mergeCell ref="AH159:AI159"/>
    <mergeCell ref="AJ159:AO159"/>
    <mergeCell ref="B159:G159"/>
    <mergeCell ref="H159:I159"/>
    <mergeCell ref="J159:L159"/>
    <mergeCell ref="M159:Q159"/>
    <mergeCell ref="R159:T159"/>
    <mergeCell ref="U159:X159"/>
    <mergeCell ref="Y159:AB159"/>
    <mergeCell ref="AC160:AE160"/>
    <mergeCell ref="AF160:AG160"/>
    <mergeCell ref="AH160:AI160"/>
    <mergeCell ref="AJ160:AO160"/>
    <mergeCell ref="B160:G160"/>
    <mergeCell ref="H160:I160"/>
    <mergeCell ref="J160:L160"/>
    <mergeCell ref="M160:Q160"/>
    <mergeCell ref="R160:T160"/>
    <mergeCell ref="U160:X160"/>
    <mergeCell ref="Y160:AB160"/>
    <mergeCell ref="AC161:AE161"/>
    <mergeCell ref="AF161:AG161"/>
    <mergeCell ref="AH161:AI161"/>
    <mergeCell ref="AJ161:AO161"/>
    <mergeCell ref="B161:G161"/>
    <mergeCell ref="H161:I161"/>
    <mergeCell ref="J161:L161"/>
    <mergeCell ref="M161:Q161"/>
    <mergeCell ref="R161:T161"/>
    <mergeCell ref="U161:X161"/>
    <mergeCell ref="Y161:AB161"/>
    <mergeCell ref="AC162:AE162"/>
    <mergeCell ref="AF162:AG162"/>
    <mergeCell ref="AH162:AI162"/>
    <mergeCell ref="AJ162:AO162"/>
    <mergeCell ref="B162:G162"/>
    <mergeCell ref="H162:I162"/>
    <mergeCell ref="J162:L162"/>
    <mergeCell ref="M162:Q162"/>
    <mergeCell ref="R162:T162"/>
    <mergeCell ref="U162:X162"/>
    <mergeCell ref="Y162:AB162"/>
    <mergeCell ref="AC163:AE163"/>
    <mergeCell ref="AF163:AG163"/>
    <mergeCell ref="AH163:AI163"/>
    <mergeCell ref="AJ163:AO163"/>
    <mergeCell ref="B163:G163"/>
    <mergeCell ref="H163:I163"/>
    <mergeCell ref="J163:L163"/>
    <mergeCell ref="M163:Q163"/>
    <mergeCell ref="R163:T163"/>
    <mergeCell ref="U163:X163"/>
    <mergeCell ref="Y163:AB163"/>
    <mergeCell ref="AC164:AE164"/>
    <mergeCell ref="AF164:AG164"/>
    <mergeCell ref="AH164:AI164"/>
    <mergeCell ref="AJ164:AO164"/>
    <mergeCell ref="B164:G164"/>
    <mergeCell ref="H164:I164"/>
    <mergeCell ref="J164:L164"/>
    <mergeCell ref="M164:Q164"/>
    <mergeCell ref="R164:T164"/>
    <mergeCell ref="U164:X164"/>
    <mergeCell ref="Y164:AB164"/>
    <mergeCell ref="AC165:AE165"/>
    <mergeCell ref="AF165:AG165"/>
    <mergeCell ref="AH165:AI165"/>
    <mergeCell ref="AJ165:AO165"/>
    <mergeCell ref="B165:G165"/>
    <mergeCell ref="H165:I165"/>
    <mergeCell ref="J165:L165"/>
    <mergeCell ref="M165:Q165"/>
    <mergeCell ref="R165:T165"/>
    <mergeCell ref="U165:X165"/>
    <mergeCell ref="Y165:AB165"/>
    <mergeCell ref="AC166:AE166"/>
    <mergeCell ref="AF166:AG166"/>
    <mergeCell ref="AH166:AI166"/>
    <mergeCell ref="AJ166:AO166"/>
    <mergeCell ref="B166:G166"/>
    <mergeCell ref="H166:I166"/>
    <mergeCell ref="J166:L166"/>
    <mergeCell ref="M166:Q166"/>
    <mergeCell ref="R166:T166"/>
    <mergeCell ref="U166:X166"/>
    <mergeCell ref="Y166:AB166"/>
    <mergeCell ref="AC167:AE167"/>
    <mergeCell ref="AF167:AG167"/>
    <mergeCell ref="AH167:AI167"/>
    <mergeCell ref="AJ167:AO167"/>
    <mergeCell ref="B167:G167"/>
    <mergeCell ref="H167:I167"/>
    <mergeCell ref="J167:L167"/>
    <mergeCell ref="M167:Q167"/>
    <mergeCell ref="R167:T167"/>
    <mergeCell ref="U167:X167"/>
    <mergeCell ref="Y167:AB167"/>
    <mergeCell ref="AC168:AE168"/>
    <mergeCell ref="AF168:AG168"/>
    <mergeCell ref="AH168:AI168"/>
    <mergeCell ref="AJ168:AO168"/>
    <mergeCell ref="B168:G168"/>
    <mergeCell ref="H168:I168"/>
    <mergeCell ref="J168:L168"/>
    <mergeCell ref="M168:Q168"/>
    <mergeCell ref="R168:T168"/>
    <mergeCell ref="U168:X168"/>
    <mergeCell ref="Y168:AB168"/>
    <mergeCell ref="AC169:AE169"/>
    <mergeCell ref="AF169:AG169"/>
    <mergeCell ref="AH169:AI169"/>
    <mergeCell ref="AJ169:AO169"/>
    <mergeCell ref="B169:G169"/>
    <mergeCell ref="H169:I169"/>
    <mergeCell ref="J169:L169"/>
    <mergeCell ref="M169:Q169"/>
    <mergeCell ref="R169:T169"/>
    <mergeCell ref="U169:X169"/>
    <mergeCell ref="Y169:AB169"/>
    <mergeCell ref="AC170:AE170"/>
    <mergeCell ref="AF170:AG170"/>
    <mergeCell ref="AH170:AI170"/>
    <mergeCell ref="AJ170:AO170"/>
    <mergeCell ref="B170:G170"/>
    <mergeCell ref="H170:I170"/>
    <mergeCell ref="J170:L170"/>
    <mergeCell ref="M170:Q170"/>
    <mergeCell ref="R170:T170"/>
    <mergeCell ref="U170:X170"/>
    <mergeCell ref="Y170:AB170"/>
    <mergeCell ref="AC171:AE171"/>
    <mergeCell ref="AF171:AG171"/>
    <mergeCell ref="AH171:AI171"/>
    <mergeCell ref="AJ171:AO171"/>
    <mergeCell ref="B171:G171"/>
    <mergeCell ref="H171:I171"/>
    <mergeCell ref="J171:L171"/>
    <mergeCell ref="M171:Q171"/>
    <mergeCell ref="R171:T171"/>
    <mergeCell ref="U171:X171"/>
    <mergeCell ref="Y171:AB171"/>
    <mergeCell ref="AC172:AE172"/>
    <mergeCell ref="AF172:AG172"/>
    <mergeCell ref="AH172:AI172"/>
    <mergeCell ref="AJ172:AO172"/>
    <mergeCell ref="B172:G172"/>
    <mergeCell ref="H172:I172"/>
    <mergeCell ref="J172:L172"/>
    <mergeCell ref="M172:Q172"/>
    <mergeCell ref="R172:T172"/>
    <mergeCell ref="U172:X172"/>
    <mergeCell ref="Y172:AB172"/>
    <mergeCell ref="AC173:AE173"/>
    <mergeCell ref="AF173:AG173"/>
    <mergeCell ref="AH173:AI173"/>
    <mergeCell ref="AJ173:AO173"/>
    <mergeCell ref="B173:G173"/>
    <mergeCell ref="H173:I173"/>
    <mergeCell ref="J173:L173"/>
    <mergeCell ref="M173:Q173"/>
    <mergeCell ref="R173:T173"/>
    <mergeCell ref="U173:X173"/>
    <mergeCell ref="Y173:AB173"/>
    <mergeCell ref="AC174:AE174"/>
    <mergeCell ref="AF174:AG174"/>
    <mergeCell ref="AH174:AI174"/>
    <mergeCell ref="AJ174:AO174"/>
    <mergeCell ref="B174:G174"/>
    <mergeCell ref="H174:I174"/>
    <mergeCell ref="J174:L174"/>
    <mergeCell ref="M174:Q174"/>
    <mergeCell ref="R174:T174"/>
    <mergeCell ref="U174:X174"/>
    <mergeCell ref="Y174:AB174"/>
    <mergeCell ref="AC175:AE175"/>
    <mergeCell ref="AF175:AG175"/>
    <mergeCell ref="AH175:AI175"/>
    <mergeCell ref="AJ175:AO175"/>
    <mergeCell ref="B175:G175"/>
    <mergeCell ref="H175:I175"/>
    <mergeCell ref="J175:L175"/>
    <mergeCell ref="M175:Q175"/>
    <mergeCell ref="R175:T175"/>
    <mergeCell ref="U175:X175"/>
    <mergeCell ref="Y175:AB175"/>
    <mergeCell ref="AC176:AE176"/>
    <mergeCell ref="AF176:AG176"/>
    <mergeCell ref="AH176:AI176"/>
    <mergeCell ref="AJ176:AO176"/>
    <mergeCell ref="B176:G176"/>
    <mergeCell ref="H176:I176"/>
    <mergeCell ref="J176:L176"/>
    <mergeCell ref="M176:Q176"/>
    <mergeCell ref="R176:T176"/>
    <mergeCell ref="U176:X176"/>
    <mergeCell ref="Y176:AB176"/>
    <mergeCell ref="AC177:AE177"/>
    <mergeCell ref="AF177:AG177"/>
    <mergeCell ref="AH177:AI177"/>
    <mergeCell ref="AJ177:AO177"/>
    <mergeCell ref="B177:G177"/>
    <mergeCell ref="H177:I177"/>
    <mergeCell ref="J177:L177"/>
    <mergeCell ref="M177:Q177"/>
    <mergeCell ref="R177:T177"/>
    <mergeCell ref="U177:X177"/>
    <mergeCell ref="Y177:AB177"/>
    <mergeCell ref="AC178:AE178"/>
    <mergeCell ref="AF178:AG178"/>
    <mergeCell ref="AH178:AI178"/>
    <mergeCell ref="AJ178:AO178"/>
    <mergeCell ref="B178:G178"/>
    <mergeCell ref="H178:I178"/>
    <mergeCell ref="J178:L178"/>
    <mergeCell ref="M178:Q178"/>
    <mergeCell ref="R178:T178"/>
    <mergeCell ref="U178:X178"/>
    <mergeCell ref="Y178:AB178"/>
    <mergeCell ref="AC179:AE179"/>
    <mergeCell ref="AF179:AG179"/>
    <mergeCell ref="AH179:AI179"/>
    <mergeCell ref="AJ179:AO179"/>
    <mergeCell ref="B179:G179"/>
    <mergeCell ref="H179:I179"/>
    <mergeCell ref="J179:L179"/>
    <mergeCell ref="M179:Q179"/>
    <mergeCell ref="R179:T179"/>
    <mergeCell ref="U179:X179"/>
    <mergeCell ref="Y179:AB179"/>
    <mergeCell ref="AC180:AE180"/>
    <mergeCell ref="AF180:AG180"/>
    <mergeCell ref="AH180:AI180"/>
    <mergeCell ref="AJ180:AO180"/>
    <mergeCell ref="B180:G180"/>
    <mergeCell ref="H180:I180"/>
    <mergeCell ref="J180:L180"/>
    <mergeCell ref="M180:Q180"/>
    <mergeCell ref="R180:T180"/>
    <mergeCell ref="U180:X180"/>
    <mergeCell ref="Y180:AB180"/>
    <mergeCell ref="AC181:AE181"/>
    <mergeCell ref="AF181:AG181"/>
    <mergeCell ref="AH181:AI181"/>
    <mergeCell ref="AJ181:AO181"/>
    <mergeCell ref="B181:G181"/>
    <mergeCell ref="H181:I181"/>
    <mergeCell ref="J181:L181"/>
    <mergeCell ref="M181:Q181"/>
    <mergeCell ref="R181:T181"/>
    <mergeCell ref="U181:X181"/>
    <mergeCell ref="Y181:AB181"/>
    <mergeCell ref="AC182:AE182"/>
    <mergeCell ref="AF182:AG182"/>
    <mergeCell ref="AH182:AI182"/>
    <mergeCell ref="AJ182:AO182"/>
    <mergeCell ref="B182:G182"/>
    <mergeCell ref="H182:I182"/>
    <mergeCell ref="J182:L182"/>
    <mergeCell ref="M182:Q182"/>
    <mergeCell ref="R182:T182"/>
    <mergeCell ref="U182:X182"/>
    <mergeCell ref="Y182:AB182"/>
    <mergeCell ref="AC190:AE190"/>
    <mergeCell ref="AF190:AG190"/>
    <mergeCell ref="AH190:AI190"/>
    <mergeCell ref="AJ190:AO190"/>
    <mergeCell ref="B190:G190"/>
    <mergeCell ref="H190:I190"/>
    <mergeCell ref="J190:L190"/>
    <mergeCell ref="M190:Q190"/>
    <mergeCell ref="R190:T190"/>
    <mergeCell ref="U190:X190"/>
    <mergeCell ref="Y190:AB190"/>
    <mergeCell ref="AC191:AE191"/>
    <mergeCell ref="AF191:AG191"/>
    <mergeCell ref="AH191:AI191"/>
    <mergeCell ref="AJ191:AO191"/>
    <mergeCell ref="B191:G191"/>
    <mergeCell ref="H191:I191"/>
    <mergeCell ref="J191:L191"/>
    <mergeCell ref="M191:Q191"/>
    <mergeCell ref="R191:T191"/>
    <mergeCell ref="U191:X191"/>
    <mergeCell ref="Y191:AB191"/>
    <mergeCell ref="AC192:AE192"/>
    <mergeCell ref="AF192:AG192"/>
    <mergeCell ref="AH192:AI192"/>
    <mergeCell ref="AJ192:AO192"/>
    <mergeCell ref="B192:G192"/>
    <mergeCell ref="H192:I192"/>
    <mergeCell ref="J192:L192"/>
    <mergeCell ref="M192:Q192"/>
    <mergeCell ref="R192:T192"/>
    <mergeCell ref="U192:X192"/>
    <mergeCell ref="Y192:AB192"/>
    <mergeCell ref="AC193:AE193"/>
    <mergeCell ref="AF193:AG193"/>
    <mergeCell ref="AH193:AI193"/>
    <mergeCell ref="AJ193:AO193"/>
    <mergeCell ref="B193:G193"/>
    <mergeCell ref="H193:I193"/>
    <mergeCell ref="J193:L193"/>
    <mergeCell ref="M193:Q193"/>
    <mergeCell ref="R193:T193"/>
    <mergeCell ref="U193:X193"/>
    <mergeCell ref="Y193:AB193"/>
    <mergeCell ref="AC194:AE194"/>
    <mergeCell ref="AF194:AG194"/>
    <mergeCell ref="AH194:AI194"/>
    <mergeCell ref="AJ194:AO194"/>
    <mergeCell ref="B194:G194"/>
    <mergeCell ref="H194:I194"/>
    <mergeCell ref="J194:L194"/>
    <mergeCell ref="M194:Q194"/>
    <mergeCell ref="R194:T194"/>
    <mergeCell ref="U194:X194"/>
    <mergeCell ref="Y194:AB194"/>
    <mergeCell ref="P2:AA3"/>
    <mergeCell ref="P4:AA4"/>
    <mergeCell ref="O1:O4"/>
    <mergeCell ref="P1:AA1"/>
    <mergeCell ref="AB1:AB4"/>
    <mergeCell ref="B2:N2"/>
    <mergeCell ref="AC2:AO2"/>
    <mergeCell ref="B3:N4"/>
    <mergeCell ref="AC3:AO4"/>
    <mergeCell ref="AC5:AE6"/>
    <mergeCell ref="AF5:AG6"/>
    <mergeCell ref="AH5:AI6"/>
    <mergeCell ref="AJ5:AO6"/>
    <mergeCell ref="B5:G6"/>
    <mergeCell ref="H5:I6"/>
    <mergeCell ref="J5:L6"/>
    <mergeCell ref="M5:Q6"/>
    <mergeCell ref="R5:T6"/>
    <mergeCell ref="U5:X6"/>
    <mergeCell ref="Y5:AB6"/>
    <mergeCell ref="AC7:AE7"/>
    <mergeCell ref="AF7:AG7"/>
    <mergeCell ref="AH7:AI7"/>
    <mergeCell ref="AJ7:AO7"/>
    <mergeCell ref="B7:G7"/>
    <mergeCell ref="H7:I7"/>
    <mergeCell ref="J7:L7"/>
    <mergeCell ref="M7:Q7"/>
    <mergeCell ref="R7:T7"/>
    <mergeCell ref="U7:X7"/>
    <mergeCell ref="Y7:AB7"/>
    <mergeCell ref="AC195:AE195"/>
    <mergeCell ref="AF195:AG195"/>
    <mergeCell ref="AH195:AI195"/>
    <mergeCell ref="AJ195:AO195"/>
    <mergeCell ref="B195:G195"/>
    <mergeCell ref="H195:I195"/>
    <mergeCell ref="J195:L195"/>
    <mergeCell ref="M195:Q195"/>
    <mergeCell ref="R195:T195"/>
    <mergeCell ref="U195:X195"/>
    <mergeCell ref="Y195:AB195"/>
    <mergeCell ref="AC183:AE183"/>
    <mergeCell ref="AF183:AG183"/>
    <mergeCell ref="AH183:AI183"/>
    <mergeCell ref="AJ183:AO183"/>
    <mergeCell ref="B183:G183"/>
    <mergeCell ref="H183:I183"/>
    <mergeCell ref="J183:L183"/>
    <mergeCell ref="M183:Q183"/>
    <mergeCell ref="R183:T183"/>
    <mergeCell ref="U183:X183"/>
    <mergeCell ref="Y183:AB183"/>
    <mergeCell ref="AC184:AE184"/>
    <mergeCell ref="AF184:AG184"/>
    <mergeCell ref="AH184:AI184"/>
    <mergeCell ref="AJ184:AO184"/>
    <mergeCell ref="B184:G184"/>
    <mergeCell ref="H184:I184"/>
    <mergeCell ref="J184:L184"/>
    <mergeCell ref="M184:Q184"/>
    <mergeCell ref="R184:T184"/>
    <mergeCell ref="U184:X184"/>
    <mergeCell ref="Y184:AB184"/>
    <mergeCell ref="AC185:AE185"/>
    <mergeCell ref="AF185:AG185"/>
    <mergeCell ref="AH185:AI185"/>
    <mergeCell ref="AJ185:AO185"/>
    <mergeCell ref="B185:G185"/>
    <mergeCell ref="H185:I185"/>
    <mergeCell ref="J185:L185"/>
    <mergeCell ref="M185:Q185"/>
    <mergeCell ref="R185:T185"/>
    <mergeCell ref="U185:X185"/>
    <mergeCell ref="Y185:AB185"/>
    <mergeCell ref="AC186:AE186"/>
    <mergeCell ref="AF186:AG186"/>
    <mergeCell ref="AH186:AI186"/>
    <mergeCell ref="AJ186:AO186"/>
    <mergeCell ref="B186:G186"/>
    <mergeCell ref="H186:I186"/>
    <mergeCell ref="J186:L186"/>
    <mergeCell ref="M186:Q186"/>
    <mergeCell ref="R186:T186"/>
    <mergeCell ref="U186:X186"/>
    <mergeCell ref="Y186:AB186"/>
    <mergeCell ref="AC187:AE187"/>
    <mergeCell ref="AF187:AG187"/>
    <mergeCell ref="AH187:AI187"/>
    <mergeCell ref="AJ187:AO187"/>
    <mergeCell ref="B187:G187"/>
    <mergeCell ref="H187:I187"/>
    <mergeCell ref="J187:L187"/>
    <mergeCell ref="M187:Q187"/>
    <mergeCell ref="R187:T187"/>
    <mergeCell ref="U187:X187"/>
    <mergeCell ref="Y187:AB187"/>
    <mergeCell ref="AC188:AE188"/>
    <mergeCell ref="AF188:AG188"/>
    <mergeCell ref="AH188:AI188"/>
    <mergeCell ref="AJ188:AO188"/>
    <mergeCell ref="B188:G188"/>
    <mergeCell ref="H188:I188"/>
    <mergeCell ref="J188:L188"/>
    <mergeCell ref="M188:Q188"/>
    <mergeCell ref="R188:T188"/>
    <mergeCell ref="U188:X188"/>
    <mergeCell ref="Y188:AB188"/>
    <mergeCell ref="AC189:AE189"/>
    <mergeCell ref="AF189:AG189"/>
    <mergeCell ref="AH189:AI189"/>
    <mergeCell ref="AJ189:AO189"/>
    <mergeCell ref="B189:G189"/>
    <mergeCell ref="H189:I189"/>
    <mergeCell ref="J189:L189"/>
    <mergeCell ref="M189:Q189"/>
    <mergeCell ref="R189:T189"/>
    <mergeCell ref="U189:X189"/>
    <mergeCell ref="Y189:AB189"/>
    <mergeCell ref="AC106:AE106"/>
    <mergeCell ref="AF106:AG106"/>
    <mergeCell ref="AH106:AI106"/>
    <mergeCell ref="AJ106:AO106"/>
    <mergeCell ref="B106:G106"/>
    <mergeCell ref="H106:I106"/>
    <mergeCell ref="J106:L106"/>
    <mergeCell ref="M106:Q106"/>
    <mergeCell ref="R106:T106"/>
    <mergeCell ref="U106:X106"/>
    <mergeCell ref="Y106:AB106"/>
    <mergeCell ref="AC107:AE107"/>
    <mergeCell ref="AF107:AG107"/>
    <mergeCell ref="AH107:AI107"/>
    <mergeCell ref="AJ107:AO107"/>
    <mergeCell ref="B107:G107"/>
    <mergeCell ref="H107:I107"/>
    <mergeCell ref="J107:L107"/>
    <mergeCell ref="M107:Q107"/>
    <mergeCell ref="R107:T107"/>
    <mergeCell ref="U107:X107"/>
    <mergeCell ref="Y107:AB107"/>
    <mergeCell ref="AC108:AE108"/>
    <mergeCell ref="AF108:AG108"/>
    <mergeCell ref="AH108:AI108"/>
    <mergeCell ref="AJ108:AO108"/>
    <mergeCell ref="B108:G108"/>
    <mergeCell ref="H108:I108"/>
    <mergeCell ref="J108:L108"/>
    <mergeCell ref="M108:Q108"/>
    <mergeCell ref="R108:T108"/>
    <mergeCell ref="U108:X108"/>
    <mergeCell ref="Y108:AB108"/>
    <mergeCell ref="AC109:AE109"/>
    <mergeCell ref="AF109:AG109"/>
    <mergeCell ref="AH109:AI109"/>
    <mergeCell ref="AJ109:AO109"/>
    <mergeCell ref="B109:G109"/>
    <mergeCell ref="H109:I109"/>
    <mergeCell ref="J109:L109"/>
    <mergeCell ref="M109:Q109"/>
    <mergeCell ref="R109:T109"/>
    <mergeCell ref="U109:X109"/>
    <mergeCell ref="Y109:AB109"/>
    <mergeCell ref="AC110:AE110"/>
    <mergeCell ref="AF110:AG110"/>
    <mergeCell ref="AH110:AI110"/>
    <mergeCell ref="AJ110:AO110"/>
    <mergeCell ref="B110:G110"/>
    <mergeCell ref="H110:I110"/>
    <mergeCell ref="J110:L110"/>
    <mergeCell ref="M110:Q110"/>
    <mergeCell ref="R110:T110"/>
    <mergeCell ref="U110:X110"/>
    <mergeCell ref="Y110:AB110"/>
    <mergeCell ref="AC111:AE111"/>
    <mergeCell ref="AF111:AG111"/>
    <mergeCell ref="AH111:AI111"/>
    <mergeCell ref="AJ111:AO111"/>
    <mergeCell ref="B111:G111"/>
    <mergeCell ref="H111:I111"/>
    <mergeCell ref="J111:L111"/>
    <mergeCell ref="M111:Q111"/>
    <mergeCell ref="R111:T111"/>
    <mergeCell ref="U111:X111"/>
    <mergeCell ref="Y111:AB111"/>
    <mergeCell ref="AC112:AE112"/>
    <mergeCell ref="AF112:AG112"/>
    <mergeCell ref="AH112:AI112"/>
    <mergeCell ref="AJ112:AO112"/>
    <mergeCell ref="B112:G112"/>
    <mergeCell ref="H112:I112"/>
    <mergeCell ref="J112:L112"/>
    <mergeCell ref="M112:Q112"/>
    <mergeCell ref="R112:T112"/>
    <mergeCell ref="U112:X112"/>
    <mergeCell ref="Y112:AB112"/>
    <mergeCell ref="AC113:AE113"/>
    <mergeCell ref="AF113:AG113"/>
    <mergeCell ref="AH113:AI113"/>
    <mergeCell ref="AJ113:AO113"/>
    <mergeCell ref="B113:G113"/>
    <mergeCell ref="H113:I113"/>
    <mergeCell ref="J113:L113"/>
    <mergeCell ref="M113:Q113"/>
    <mergeCell ref="R113:T113"/>
    <mergeCell ref="U113:X113"/>
    <mergeCell ref="Y113:AB113"/>
    <mergeCell ref="AC114:AE114"/>
    <mergeCell ref="AF114:AG114"/>
    <mergeCell ref="AH114:AI114"/>
    <mergeCell ref="AJ114:AO114"/>
    <mergeCell ref="B114:G114"/>
    <mergeCell ref="H114:I114"/>
    <mergeCell ref="J114:L114"/>
    <mergeCell ref="M114:Q114"/>
    <mergeCell ref="R114:T114"/>
    <mergeCell ref="U114:X114"/>
    <mergeCell ref="Y114:AB114"/>
    <mergeCell ref="AC115:AE115"/>
    <mergeCell ref="AF115:AG115"/>
    <mergeCell ref="AH115:AI115"/>
    <mergeCell ref="AJ115:AO115"/>
    <mergeCell ref="B115:G115"/>
    <mergeCell ref="H115:I115"/>
    <mergeCell ref="J115:L115"/>
    <mergeCell ref="M115:Q115"/>
    <mergeCell ref="R115:T115"/>
    <mergeCell ref="U115:X115"/>
    <mergeCell ref="Y115:AB115"/>
    <mergeCell ref="AC116:AE116"/>
    <mergeCell ref="AF116:AG116"/>
    <mergeCell ref="AH116:AI116"/>
    <mergeCell ref="AJ116:AO116"/>
    <mergeCell ref="B116:G116"/>
    <mergeCell ref="H116:I116"/>
    <mergeCell ref="J116:L116"/>
    <mergeCell ref="M116:Q116"/>
    <mergeCell ref="R116:T116"/>
    <mergeCell ref="U116:X116"/>
    <mergeCell ref="Y116:AB116"/>
    <mergeCell ref="AC117:AE117"/>
    <mergeCell ref="AF117:AG117"/>
    <mergeCell ref="AH117:AI117"/>
    <mergeCell ref="AJ117:AO117"/>
    <mergeCell ref="B117:G117"/>
    <mergeCell ref="H117:I117"/>
    <mergeCell ref="J117:L117"/>
    <mergeCell ref="M117:Q117"/>
    <mergeCell ref="R117:T117"/>
    <mergeCell ref="U117:X117"/>
    <mergeCell ref="Y117:AB117"/>
    <mergeCell ref="AC118:AE118"/>
    <mergeCell ref="AF118:AG118"/>
    <mergeCell ref="AH118:AI118"/>
    <mergeCell ref="AJ118:AO118"/>
    <mergeCell ref="B118:G118"/>
    <mergeCell ref="H118:I118"/>
    <mergeCell ref="J118:L118"/>
    <mergeCell ref="M118:Q118"/>
    <mergeCell ref="R118:T118"/>
    <mergeCell ref="U118:X118"/>
    <mergeCell ref="Y118:AB118"/>
    <mergeCell ref="AC119:AE119"/>
    <mergeCell ref="AF119:AG119"/>
    <mergeCell ref="AH119:AI119"/>
    <mergeCell ref="AJ119:AO119"/>
    <mergeCell ref="B119:G119"/>
    <mergeCell ref="H119:I119"/>
    <mergeCell ref="J119:L119"/>
    <mergeCell ref="M119:Q119"/>
    <mergeCell ref="R119:T119"/>
    <mergeCell ref="U119:X119"/>
    <mergeCell ref="Y119:AB119"/>
    <mergeCell ref="AC120:AE120"/>
    <mergeCell ref="AF120:AG120"/>
    <mergeCell ref="AH120:AI120"/>
    <mergeCell ref="AJ120:AO120"/>
    <mergeCell ref="B120:G120"/>
    <mergeCell ref="H120:I120"/>
    <mergeCell ref="J120:L120"/>
    <mergeCell ref="M120:Q120"/>
    <mergeCell ref="R120:T120"/>
    <mergeCell ref="U120:X120"/>
    <mergeCell ref="Y120:AB120"/>
    <mergeCell ref="AC121:AE121"/>
    <mergeCell ref="AF121:AG121"/>
    <mergeCell ref="AH121:AI121"/>
    <mergeCell ref="AJ121:AO121"/>
    <mergeCell ref="B121:G121"/>
    <mergeCell ref="H121:I121"/>
    <mergeCell ref="J121:L121"/>
    <mergeCell ref="M121:Q121"/>
    <mergeCell ref="R121:T121"/>
    <mergeCell ref="U121:X121"/>
    <mergeCell ref="Y121:AB121"/>
    <mergeCell ref="AC122:AE122"/>
    <mergeCell ref="AF122:AG122"/>
    <mergeCell ref="AH122:AI122"/>
    <mergeCell ref="AJ122:AO122"/>
    <mergeCell ref="B122:G122"/>
    <mergeCell ref="H122:I122"/>
    <mergeCell ref="J122:L122"/>
    <mergeCell ref="M122:Q122"/>
    <mergeCell ref="R122:T122"/>
    <mergeCell ref="U122:X122"/>
    <mergeCell ref="Y122:AB122"/>
    <mergeCell ref="AC123:AE123"/>
    <mergeCell ref="AF123:AG123"/>
    <mergeCell ref="AH123:AI123"/>
    <mergeCell ref="AJ123:AO123"/>
    <mergeCell ref="B123:G123"/>
    <mergeCell ref="H123:I123"/>
    <mergeCell ref="J123:L123"/>
    <mergeCell ref="M123:Q123"/>
    <mergeCell ref="R123:T123"/>
    <mergeCell ref="U123:X123"/>
    <mergeCell ref="Y123:AB123"/>
    <mergeCell ref="AC124:AE124"/>
    <mergeCell ref="AF124:AG124"/>
    <mergeCell ref="AH124:AI124"/>
    <mergeCell ref="AJ124:AO124"/>
    <mergeCell ref="B124:G124"/>
    <mergeCell ref="H124:I124"/>
    <mergeCell ref="J124:L124"/>
    <mergeCell ref="M124:Q124"/>
    <mergeCell ref="R124:T124"/>
    <mergeCell ref="U124:X124"/>
    <mergeCell ref="Y124:AB124"/>
    <mergeCell ref="AC125:AE125"/>
    <mergeCell ref="AF125:AG125"/>
    <mergeCell ref="AH125:AI125"/>
    <mergeCell ref="AJ125:AO125"/>
    <mergeCell ref="B125:G125"/>
    <mergeCell ref="H125:I125"/>
    <mergeCell ref="J125:L125"/>
    <mergeCell ref="M125:Q125"/>
    <mergeCell ref="R125:T125"/>
    <mergeCell ref="U125:X125"/>
    <mergeCell ref="Y125:AB125"/>
    <mergeCell ref="AC126:AE126"/>
    <mergeCell ref="AF126:AG126"/>
    <mergeCell ref="AH126:AI126"/>
    <mergeCell ref="AJ126:AO126"/>
    <mergeCell ref="B126:G126"/>
    <mergeCell ref="H126:I126"/>
    <mergeCell ref="J126:L126"/>
    <mergeCell ref="M126:Q126"/>
    <mergeCell ref="R126:T126"/>
    <mergeCell ref="U126:X126"/>
    <mergeCell ref="Y126:AB126"/>
    <mergeCell ref="AC127:AE127"/>
    <mergeCell ref="AF127:AG127"/>
    <mergeCell ref="AH127:AI127"/>
    <mergeCell ref="AJ127:AO127"/>
    <mergeCell ref="B127:G127"/>
    <mergeCell ref="H127:I127"/>
    <mergeCell ref="J127:L127"/>
    <mergeCell ref="M127:Q127"/>
    <mergeCell ref="R127:T127"/>
    <mergeCell ref="U127:X127"/>
    <mergeCell ref="Y127:AB127"/>
    <mergeCell ref="AC128:AE128"/>
    <mergeCell ref="AF128:AG128"/>
    <mergeCell ref="AH128:AI128"/>
    <mergeCell ref="AJ128:AO128"/>
    <mergeCell ref="B128:G128"/>
    <mergeCell ref="H128:I128"/>
    <mergeCell ref="J128:L128"/>
    <mergeCell ref="M128:Q128"/>
    <mergeCell ref="R128:T128"/>
    <mergeCell ref="U128:X128"/>
    <mergeCell ref="Y128:AB128"/>
    <mergeCell ref="AC129:AE129"/>
    <mergeCell ref="AF129:AG129"/>
    <mergeCell ref="AH129:AI129"/>
    <mergeCell ref="AJ129:AO129"/>
    <mergeCell ref="B129:G129"/>
    <mergeCell ref="H129:I129"/>
    <mergeCell ref="J129:L129"/>
    <mergeCell ref="M129:Q129"/>
    <mergeCell ref="R129:T129"/>
    <mergeCell ref="U129:X129"/>
    <mergeCell ref="Y129:AB129"/>
    <mergeCell ref="AC130:AE130"/>
    <mergeCell ref="AF130:AG130"/>
    <mergeCell ref="AH130:AI130"/>
    <mergeCell ref="AJ130:AO130"/>
    <mergeCell ref="B130:G130"/>
    <mergeCell ref="H130:I130"/>
    <mergeCell ref="J130:L130"/>
    <mergeCell ref="M130:Q130"/>
    <mergeCell ref="R130:T130"/>
    <mergeCell ref="U130:X130"/>
    <mergeCell ref="Y130:AB130"/>
    <mergeCell ref="AC131:AE131"/>
    <mergeCell ref="AF131:AG131"/>
    <mergeCell ref="AH131:AI131"/>
    <mergeCell ref="AJ131:AO131"/>
    <mergeCell ref="B131:G131"/>
    <mergeCell ref="H131:I131"/>
    <mergeCell ref="J131:L131"/>
    <mergeCell ref="M131:Q131"/>
    <mergeCell ref="R131:T131"/>
    <mergeCell ref="U131:X131"/>
    <mergeCell ref="Y131:AB131"/>
    <mergeCell ref="AC132:AE132"/>
    <mergeCell ref="AF132:AG132"/>
    <mergeCell ref="AH132:AI132"/>
    <mergeCell ref="AJ132:AO132"/>
    <mergeCell ref="B132:G132"/>
    <mergeCell ref="H132:I132"/>
    <mergeCell ref="J132:L132"/>
    <mergeCell ref="M132:Q132"/>
    <mergeCell ref="R132:T132"/>
    <mergeCell ref="U132:X132"/>
    <mergeCell ref="Y132:AB132"/>
    <mergeCell ref="AC133:AE133"/>
    <mergeCell ref="AF133:AG133"/>
    <mergeCell ref="AH133:AI133"/>
    <mergeCell ref="AJ133:AO133"/>
    <mergeCell ref="B133:G133"/>
    <mergeCell ref="H133:I133"/>
    <mergeCell ref="J133:L133"/>
    <mergeCell ref="M133:Q133"/>
    <mergeCell ref="R133:T133"/>
    <mergeCell ref="U133:X133"/>
    <mergeCell ref="Y133:AB133"/>
    <mergeCell ref="AC134:AE134"/>
    <mergeCell ref="AF134:AG134"/>
    <mergeCell ref="AH134:AI134"/>
    <mergeCell ref="AJ134:AO134"/>
    <mergeCell ref="B134:G134"/>
    <mergeCell ref="H134:I134"/>
    <mergeCell ref="J134:L134"/>
    <mergeCell ref="M134:Q134"/>
    <mergeCell ref="R134:T134"/>
    <mergeCell ref="U134:X134"/>
    <mergeCell ref="Y134:AB134"/>
    <mergeCell ref="AC135:AE135"/>
    <mergeCell ref="AF135:AG135"/>
    <mergeCell ref="AH135:AI135"/>
    <mergeCell ref="AJ135:AO135"/>
    <mergeCell ref="B135:G135"/>
    <mergeCell ref="H135:I135"/>
    <mergeCell ref="J135:L135"/>
    <mergeCell ref="M135:Q135"/>
    <mergeCell ref="R135:T135"/>
    <mergeCell ref="U135:X135"/>
    <mergeCell ref="Y135:AB135"/>
    <mergeCell ref="AC136:AE136"/>
    <mergeCell ref="AF136:AG136"/>
    <mergeCell ref="AH136:AI136"/>
    <mergeCell ref="AJ136:AO136"/>
    <mergeCell ref="B136:G136"/>
    <mergeCell ref="H136:I136"/>
    <mergeCell ref="J136:L136"/>
    <mergeCell ref="M136:Q136"/>
    <mergeCell ref="R136:T136"/>
    <mergeCell ref="U136:X136"/>
    <mergeCell ref="Y136:AB136"/>
    <mergeCell ref="AC137:AE137"/>
    <mergeCell ref="AF137:AG137"/>
    <mergeCell ref="AH137:AI137"/>
    <mergeCell ref="AJ137:AO137"/>
    <mergeCell ref="B137:G137"/>
    <mergeCell ref="H137:I137"/>
    <mergeCell ref="J137:L137"/>
    <mergeCell ref="M137:Q137"/>
    <mergeCell ref="R137:T137"/>
    <mergeCell ref="U137:X137"/>
    <mergeCell ref="Y137:AB137"/>
    <mergeCell ref="AC138:AE138"/>
    <mergeCell ref="AF138:AG138"/>
    <mergeCell ref="AH138:AI138"/>
    <mergeCell ref="AJ138:AO138"/>
    <mergeCell ref="B138:G138"/>
    <mergeCell ref="H138:I138"/>
    <mergeCell ref="J138:L138"/>
    <mergeCell ref="M138:Q138"/>
    <mergeCell ref="R138:T138"/>
    <mergeCell ref="U138:X138"/>
    <mergeCell ref="Y138:AB138"/>
    <mergeCell ref="AC139:AE139"/>
    <mergeCell ref="AF139:AG139"/>
    <mergeCell ref="AH139:AI139"/>
    <mergeCell ref="AJ139:AO139"/>
    <mergeCell ref="B139:G139"/>
    <mergeCell ref="H139:I139"/>
    <mergeCell ref="J139:L139"/>
    <mergeCell ref="M139:Q139"/>
    <mergeCell ref="R139:T139"/>
    <mergeCell ref="U139:X139"/>
    <mergeCell ref="Y139:AB139"/>
    <mergeCell ref="AC140:AE140"/>
    <mergeCell ref="AF140:AG140"/>
    <mergeCell ref="AH140:AI140"/>
    <mergeCell ref="AJ140:AO140"/>
    <mergeCell ref="B140:G140"/>
    <mergeCell ref="H140:I140"/>
    <mergeCell ref="J140:L140"/>
    <mergeCell ref="M140:Q140"/>
    <mergeCell ref="R140:T140"/>
    <mergeCell ref="U140:X140"/>
    <mergeCell ref="Y140:AB140"/>
    <mergeCell ref="AC141:AE141"/>
    <mergeCell ref="AF141:AG141"/>
    <mergeCell ref="AH141:AI141"/>
    <mergeCell ref="AJ141:AO141"/>
    <mergeCell ref="B141:G141"/>
    <mergeCell ref="H141:I141"/>
    <mergeCell ref="J141:L141"/>
    <mergeCell ref="M141:Q141"/>
    <mergeCell ref="R141:T141"/>
    <mergeCell ref="U141:X141"/>
    <mergeCell ref="Y141:AB141"/>
    <mergeCell ref="AC142:AE142"/>
    <mergeCell ref="AF142:AG142"/>
    <mergeCell ref="AH142:AI142"/>
    <mergeCell ref="AJ142:AO142"/>
    <mergeCell ref="B142:G142"/>
    <mergeCell ref="H142:I142"/>
    <mergeCell ref="J142:L142"/>
    <mergeCell ref="M142:Q142"/>
    <mergeCell ref="R142:T142"/>
    <mergeCell ref="U142:X142"/>
    <mergeCell ref="Y142:AB142"/>
    <mergeCell ref="AC143:AE143"/>
    <mergeCell ref="AF143:AG143"/>
    <mergeCell ref="AH143:AI143"/>
    <mergeCell ref="AJ143:AO143"/>
    <mergeCell ref="B143:G143"/>
    <mergeCell ref="H143:I143"/>
    <mergeCell ref="J143:L143"/>
    <mergeCell ref="M143:Q143"/>
    <mergeCell ref="R143:T143"/>
    <mergeCell ref="U143:X143"/>
    <mergeCell ref="Y143:AB143"/>
    <mergeCell ref="AC144:AE144"/>
    <mergeCell ref="AF144:AG144"/>
    <mergeCell ref="AH144:AI144"/>
    <mergeCell ref="AJ144:AO144"/>
    <mergeCell ref="B144:G144"/>
    <mergeCell ref="H144:I144"/>
    <mergeCell ref="J144:L144"/>
    <mergeCell ref="M144:Q144"/>
    <mergeCell ref="R144:T144"/>
    <mergeCell ref="U144:X144"/>
    <mergeCell ref="Y144:AB144"/>
    <mergeCell ref="AC145:AE145"/>
    <mergeCell ref="AF145:AG145"/>
    <mergeCell ref="AH145:AI145"/>
    <mergeCell ref="AJ145:AO145"/>
    <mergeCell ref="B145:G145"/>
    <mergeCell ref="H145:I145"/>
    <mergeCell ref="J145:L145"/>
    <mergeCell ref="M145:Q145"/>
    <mergeCell ref="R145:T145"/>
    <mergeCell ref="U145:X145"/>
    <mergeCell ref="Y145:AB145"/>
    <mergeCell ref="AC146:AE146"/>
    <mergeCell ref="AF146:AG146"/>
    <mergeCell ref="AH146:AI146"/>
    <mergeCell ref="AJ146:AO146"/>
    <mergeCell ref="B146:G146"/>
    <mergeCell ref="H146:I146"/>
    <mergeCell ref="J146:L146"/>
    <mergeCell ref="M146:Q146"/>
    <mergeCell ref="R146:T146"/>
    <mergeCell ref="U146:X146"/>
    <mergeCell ref="Y146:AB146"/>
    <mergeCell ref="AC147:AE147"/>
    <mergeCell ref="AF147:AG147"/>
    <mergeCell ref="AH147:AI147"/>
    <mergeCell ref="AJ147:AO147"/>
    <mergeCell ref="B147:G147"/>
    <mergeCell ref="H147:I147"/>
    <mergeCell ref="J147:L147"/>
    <mergeCell ref="M147:Q147"/>
    <mergeCell ref="R147:T147"/>
    <mergeCell ref="U147:X147"/>
    <mergeCell ref="Y147:AB147"/>
    <mergeCell ref="AC148:AE148"/>
    <mergeCell ref="AF148:AG148"/>
    <mergeCell ref="AH148:AI148"/>
    <mergeCell ref="AJ148:AO148"/>
    <mergeCell ref="B148:G148"/>
    <mergeCell ref="H148:I148"/>
    <mergeCell ref="J148:L148"/>
    <mergeCell ref="M148:Q148"/>
    <mergeCell ref="R148:T148"/>
    <mergeCell ref="U148:X148"/>
    <mergeCell ref="Y148:AB148"/>
    <mergeCell ref="AC149:AE149"/>
    <mergeCell ref="AF149:AG149"/>
    <mergeCell ref="AH149:AI149"/>
    <mergeCell ref="AJ149:AO149"/>
    <mergeCell ref="B149:G149"/>
    <mergeCell ref="H149:I149"/>
    <mergeCell ref="J149:L149"/>
    <mergeCell ref="M149:Q149"/>
    <mergeCell ref="R149:T149"/>
    <mergeCell ref="U149:X149"/>
    <mergeCell ref="Y149:AB149"/>
    <mergeCell ref="AC150:AE150"/>
    <mergeCell ref="AF150:AG150"/>
    <mergeCell ref="AH150:AI150"/>
    <mergeCell ref="AJ150:AO150"/>
    <mergeCell ref="B150:G150"/>
    <mergeCell ref="H150:I150"/>
    <mergeCell ref="J150:L150"/>
    <mergeCell ref="M150:Q150"/>
    <mergeCell ref="R150:T150"/>
    <mergeCell ref="U150:X150"/>
    <mergeCell ref="Y150:AB150"/>
    <mergeCell ref="AC151:AE151"/>
    <mergeCell ref="AF151:AG151"/>
    <mergeCell ref="AH151:AI151"/>
    <mergeCell ref="AJ151:AO151"/>
    <mergeCell ref="B151:G151"/>
    <mergeCell ref="H151:I151"/>
    <mergeCell ref="J151:L151"/>
    <mergeCell ref="M151:Q151"/>
    <mergeCell ref="R151:T151"/>
    <mergeCell ref="U151:X151"/>
    <mergeCell ref="Y151:AB151"/>
    <mergeCell ref="AC152:AE152"/>
    <mergeCell ref="AF152:AG152"/>
    <mergeCell ref="AH152:AI152"/>
    <mergeCell ref="AJ152:AO152"/>
    <mergeCell ref="B152:G152"/>
    <mergeCell ref="H152:I152"/>
    <mergeCell ref="J152:L152"/>
    <mergeCell ref="M152:Q152"/>
    <mergeCell ref="R152:T152"/>
    <mergeCell ref="U152:X152"/>
    <mergeCell ref="Y152:AB152"/>
    <mergeCell ref="AC153:AE153"/>
    <mergeCell ref="AF153:AG153"/>
    <mergeCell ref="AH153:AI153"/>
    <mergeCell ref="AJ153:AO153"/>
    <mergeCell ref="B153:G153"/>
    <mergeCell ref="H153:I153"/>
    <mergeCell ref="J153:L153"/>
    <mergeCell ref="M153:Q153"/>
    <mergeCell ref="R153:T153"/>
    <mergeCell ref="U153:X153"/>
    <mergeCell ref="Y153:AB153"/>
    <mergeCell ref="AC154:AE154"/>
    <mergeCell ref="AF154:AG154"/>
    <mergeCell ref="AH154:AI154"/>
    <mergeCell ref="AJ154:AO154"/>
    <mergeCell ref="B154:G154"/>
    <mergeCell ref="H154:I154"/>
    <mergeCell ref="J154:L154"/>
    <mergeCell ref="M154:Q154"/>
    <mergeCell ref="R154:T154"/>
    <mergeCell ref="U154:X154"/>
    <mergeCell ref="Y154:AB154"/>
  </mergeCells>
  <conditionalFormatting sqref="H45:AO201">
    <cfRule type="expression" dxfId="43" priority="1">
      <formula>and($B45&lt;&gt;"",H45="")</formula>
    </cfRule>
  </conditionalFormatting>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05"/>
      <c r="B1" s="506"/>
      <c r="C1" s="506"/>
      <c r="D1" s="506"/>
      <c r="E1" s="506"/>
      <c r="F1" s="506"/>
      <c r="G1" s="506"/>
      <c r="H1" s="507"/>
      <c r="I1" s="507"/>
      <c r="J1" s="507"/>
      <c r="K1" s="507"/>
      <c r="L1" s="506"/>
      <c r="M1" s="506"/>
      <c r="N1" s="506"/>
      <c r="O1" s="508" t="str">
        <f>IMAGE("http://i.imgur.com/4gaCjL0.png",2)</f>
        <v/>
      </c>
      <c r="P1" s="509" t="str">
        <f>IMAGE("https://i.imgur.com/IxRRFOd.png",2)</f>
        <v/>
      </c>
      <c r="AB1" s="510" t="str">
        <f>IMAGE("http://i.imgur.com/GYlWKEy.png",2)</f>
        <v/>
      </c>
      <c r="AC1" s="507"/>
      <c r="AD1" s="507"/>
      <c r="AE1" s="506"/>
      <c r="AF1" s="506"/>
      <c r="AG1" s="506"/>
      <c r="AH1" s="506"/>
      <c r="AI1" s="507"/>
      <c r="AJ1" s="506"/>
      <c r="AK1" s="506"/>
      <c r="AL1" s="506"/>
      <c r="AM1" s="506"/>
      <c r="AN1" s="511"/>
      <c r="AO1" s="511"/>
      <c r="AP1" s="505"/>
    </row>
    <row r="2" ht="15.75" customHeight="1">
      <c r="A2" s="505"/>
      <c r="B2" s="513" t="str">
        <f>IMAGE("http://i.imgur.com/txQSaWP.png",4,20,400)</f>
        <v/>
      </c>
      <c r="P2" s="514" t="s">
        <v>477</v>
      </c>
      <c r="Q2" s="25"/>
      <c r="R2" s="25"/>
      <c r="S2" s="25"/>
      <c r="T2" s="25"/>
      <c r="U2" s="25"/>
      <c r="V2" s="25"/>
      <c r="W2" s="25"/>
      <c r="X2" s="25"/>
      <c r="Y2" s="25"/>
      <c r="Z2" s="25"/>
      <c r="AA2" s="25"/>
      <c r="AC2" s="515" t="str">
        <f>IMAGE("http://i.imgur.com/txQSaWP.png",4,20,400)</f>
        <v/>
      </c>
      <c r="AP2" s="539"/>
    </row>
    <row r="3" ht="15.75" customHeight="1">
      <c r="A3" s="505"/>
      <c r="B3" s="517" t="s">
        <v>478</v>
      </c>
      <c r="P3" s="31"/>
      <c r="Q3" s="31"/>
      <c r="R3" s="31"/>
      <c r="S3" s="31"/>
      <c r="T3" s="31"/>
      <c r="U3" s="31"/>
      <c r="V3" s="31"/>
      <c r="W3" s="31"/>
      <c r="X3" s="31"/>
      <c r="Y3" s="31"/>
      <c r="Z3" s="31"/>
      <c r="AA3" s="31"/>
      <c r="AC3" s="518" t="s">
        <v>479</v>
      </c>
      <c r="AO3" s="11"/>
      <c r="AP3" s="505"/>
    </row>
    <row r="4" ht="15.75" customHeight="1">
      <c r="A4" s="505"/>
      <c r="B4" s="27"/>
      <c r="P4" s="511" t="str">
        <f>IMAGE("http://i.imgur.com/7WHiYi1.png",2)</f>
        <v/>
      </c>
      <c r="AO4" s="11"/>
      <c r="AP4" s="505"/>
    </row>
    <row r="5" ht="15.75" customHeight="1">
      <c r="A5" s="505"/>
      <c r="B5" s="540" t="s">
        <v>480</v>
      </c>
      <c r="C5" s="520"/>
      <c r="D5" s="520"/>
      <c r="E5" s="520"/>
      <c r="F5" s="541" t="s">
        <v>481</v>
      </c>
      <c r="G5" s="520"/>
      <c r="H5" s="520"/>
      <c r="I5" s="541" t="s">
        <v>482</v>
      </c>
      <c r="J5" s="520"/>
      <c r="K5" s="541" t="s">
        <v>296</v>
      </c>
      <c r="L5" s="520"/>
      <c r="M5" s="520"/>
      <c r="N5" s="541" t="s">
        <v>483</v>
      </c>
      <c r="O5" s="520"/>
      <c r="P5" s="541" t="s">
        <v>484</v>
      </c>
      <c r="Q5" s="520"/>
      <c r="R5" s="520"/>
      <c r="S5" s="520"/>
      <c r="T5" s="520"/>
      <c r="U5" s="520"/>
      <c r="V5" s="520"/>
      <c r="W5" s="520"/>
      <c r="X5" s="541" t="s">
        <v>485</v>
      </c>
      <c r="Y5" s="520"/>
      <c r="Z5" s="520"/>
      <c r="AA5" s="541" t="s">
        <v>486</v>
      </c>
      <c r="AB5" s="520"/>
      <c r="AC5" s="520"/>
      <c r="AD5" s="520"/>
      <c r="AE5" s="541" t="s">
        <v>487</v>
      </c>
      <c r="AF5" s="520"/>
      <c r="AG5" s="520"/>
      <c r="AH5" s="520"/>
      <c r="AI5" s="520"/>
      <c r="AJ5" s="541" t="s">
        <v>488</v>
      </c>
      <c r="AK5" s="520"/>
      <c r="AL5" s="520"/>
      <c r="AM5" s="520"/>
      <c r="AN5" s="520"/>
      <c r="AO5" s="522"/>
    </row>
    <row r="6" ht="15.75" customHeight="1">
      <c r="A6" s="505"/>
      <c r="B6" s="523"/>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c r="AC6" s="524"/>
      <c r="AD6" s="524"/>
      <c r="AE6" s="524"/>
      <c r="AF6" s="524"/>
      <c r="AG6" s="524"/>
      <c r="AH6" s="524"/>
      <c r="AI6" s="524"/>
      <c r="AJ6" s="524"/>
      <c r="AK6" s="524"/>
      <c r="AL6" s="524"/>
      <c r="AM6" s="524"/>
      <c r="AN6" s="524"/>
      <c r="AO6" s="525"/>
    </row>
    <row r="7" ht="15.75" customHeight="1">
      <c r="A7" s="505"/>
      <c r="B7" s="526" t="s">
        <v>489</v>
      </c>
      <c r="F7" s="527" t="s">
        <v>490</v>
      </c>
      <c r="I7" s="527" t="s">
        <v>321</v>
      </c>
      <c r="K7" s="527">
        <v>25.0</v>
      </c>
      <c r="N7" s="527">
        <v>1.0</v>
      </c>
      <c r="P7" s="527" t="s">
        <v>491</v>
      </c>
      <c r="X7" s="527" t="s">
        <v>492</v>
      </c>
      <c r="AA7" s="527" t="s">
        <v>321</v>
      </c>
      <c r="AE7" s="527" t="s">
        <v>493</v>
      </c>
      <c r="AJ7" s="527" t="s">
        <v>494</v>
      </c>
      <c r="AO7" s="529"/>
    </row>
    <row r="8" ht="15.75" customHeight="1">
      <c r="A8" s="505"/>
      <c r="B8" s="530"/>
      <c r="F8" s="531"/>
      <c r="I8" s="531"/>
      <c r="K8" s="531"/>
      <c r="N8" s="531"/>
      <c r="P8" s="531"/>
      <c r="X8" s="531"/>
      <c r="AA8" s="531"/>
      <c r="AE8" s="531"/>
      <c r="AJ8" s="531"/>
      <c r="AO8" s="533"/>
    </row>
    <row r="9" ht="15.75" customHeight="1">
      <c r="A9" s="505"/>
      <c r="B9" s="526" t="s">
        <v>495</v>
      </c>
      <c r="F9" s="527" t="s">
        <v>496</v>
      </c>
      <c r="I9" s="527" t="s">
        <v>321</v>
      </c>
      <c r="K9" s="527">
        <v>30.0</v>
      </c>
      <c r="N9" s="527" t="s">
        <v>321</v>
      </c>
      <c r="P9" s="527" t="s">
        <v>321</v>
      </c>
      <c r="X9" s="534" t="s">
        <v>497</v>
      </c>
      <c r="AA9" s="527" t="s">
        <v>321</v>
      </c>
      <c r="AE9" s="527" t="s">
        <v>498</v>
      </c>
      <c r="AJ9" s="527" t="s">
        <v>499</v>
      </c>
      <c r="AO9" s="529"/>
    </row>
    <row r="10" ht="15.75" customHeight="1">
      <c r="A10" s="505"/>
      <c r="B10" s="530"/>
      <c r="F10" s="531"/>
      <c r="I10" s="531"/>
      <c r="K10" s="531"/>
      <c r="N10" s="531"/>
      <c r="P10" s="531"/>
      <c r="X10" s="531"/>
      <c r="AA10" s="531"/>
      <c r="AE10" s="531"/>
      <c r="AJ10" s="531"/>
      <c r="AO10" s="533"/>
    </row>
    <row r="11" ht="15.75" customHeight="1">
      <c r="A11" s="505"/>
      <c r="B11" s="526"/>
      <c r="F11" s="527"/>
      <c r="I11" s="527"/>
      <c r="K11" s="527"/>
      <c r="N11" s="527"/>
      <c r="P11" s="527"/>
      <c r="X11" s="527"/>
      <c r="AA11" s="527"/>
      <c r="AE11" s="527"/>
      <c r="AJ11" s="527"/>
      <c r="AO11" s="529"/>
    </row>
    <row r="12" ht="15.75" customHeight="1">
      <c r="A12" s="505"/>
      <c r="B12" s="530" t="s">
        <v>500</v>
      </c>
      <c r="F12" s="531" t="s">
        <v>501</v>
      </c>
      <c r="I12" s="531" t="s">
        <v>321</v>
      </c>
      <c r="K12" s="531">
        <v>25.0</v>
      </c>
      <c r="N12" s="531" t="s">
        <v>321</v>
      </c>
      <c r="P12" s="531" t="s">
        <v>321</v>
      </c>
      <c r="X12" s="531" t="s">
        <v>502</v>
      </c>
      <c r="AA12" s="531" t="s">
        <v>321</v>
      </c>
      <c r="AE12" s="531" t="s">
        <v>321</v>
      </c>
      <c r="AJ12" s="531" t="s">
        <v>321</v>
      </c>
      <c r="AO12" s="533"/>
    </row>
    <row r="13" ht="15.75" customHeight="1">
      <c r="A13" s="505"/>
      <c r="B13" s="526"/>
      <c r="F13" s="527"/>
      <c r="I13" s="527"/>
      <c r="K13" s="527"/>
      <c r="N13" s="527"/>
      <c r="P13" s="527"/>
      <c r="X13" s="527"/>
      <c r="AA13" s="527"/>
      <c r="AE13" s="527"/>
      <c r="AJ13" s="527"/>
      <c r="AO13" s="529"/>
    </row>
    <row r="14" ht="15.75" customHeight="1">
      <c r="A14" s="505"/>
      <c r="B14" s="530" t="s">
        <v>7</v>
      </c>
      <c r="F14" s="531" t="s">
        <v>503</v>
      </c>
      <c r="I14" s="531" t="s">
        <v>321</v>
      </c>
      <c r="K14" s="531">
        <v>30.0</v>
      </c>
      <c r="N14" s="531" t="s">
        <v>321</v>
      </c>
      <c r="P14" s="531" t="s">
        <v>321</v>
      </c>
      <c r="X14" s="531" t="s">
        <v>504</v>
      </c>
      <c r="AA14" s="531" t="s">
        <v>321</v>
      </c>
      <c r="AE14" s="531" t="s">
        <v>321</v>
      </c>
      <c r="AJ14" s="531" t="s">
        <v>321</v>
      </c>
      <c r="AO14" s="533"/>
    </row>
    <row r="15" ht="15.75" customHeight="1">
      <c r="A15" s="505"/>
      <c r="B15" s="526"/>
      <c r="F15" s="527"/>
      <c r="I15" s="527"/>
      <c r="K15" s="527"/>
      <c r="N15" s="527"/>
      <c r="P15" s="527"/>
      <c r="X15" s="527"/>
      <c r="AA15" s="527"/>
      <c r="AE15" s="527"/>
      <c r="AJ15" s="527"/>
      <c r="AO15" s="529"/>
    </row>
    <row r="16" ht="15.75" customHeight="1">
      <c r="A16" s="505"/>
      <c r="B16" s="530" t="s">
        <v>505</v>
      </c>
      <c r="F16" s="531" t="s">
        <v>506</v>
      </c>
      <c r="I16" s="531" t="str">
        <f>"1"&amp;if(isnumber(find("dragon hide",feats)),"3","0")&amp;"+dex"</f>
        <v>10+dex</v>
      </c>
      <c r="K16" s="531">
        <v>30.0</v>
      </c>
      <c r="N16" s="531" t="s">
        <v>321</v>
      </c>
      <c r="P16" s="531" t="s">
        <v>507</v>
      </c>
      <c r="X16" s="531" t="s">
        <v>508</v>
      </c>
      <c r="AA16" s="531" t="str">
        <f>if(isnumber(find("dragon hide",feats)),"Claw 1d4 slashing","-")</f>
        <v>-</v>
      </c>
      <c r="AE16" s="531" t="s">
        <v>321</v>
      </c>
      <c r="AJ16" s="531" t="s">
        <v>321</v>
      </c>
      <c r="AO16" s="533"/>
    </row>
    <row r="17" ht="15.75" customHeight="1">
      <c r="A17" s="505"/>
      <c r="B17" s="526" t="s">
        <v>509</v>
      </c>
      <c r="F17" s="527" t="s">
        <v>506</v>
      </c>
      <c r="I17" s="527" t="str">
        <f>"1"&amp;if(isnumber(find("dragon hide",feats)),"3","0")&amp;"+dex"</f>
        <v>10+dex</v>
      </c>
      <c r="K17" s="527">
        <v>30.0</v>
      </c>
      <c r="N17" s="527" t="s">
        <v>321</v>
      </c>
      <c r="P17" s="527" t="s">
        <v>510</v>
      </c>
      <c r="X17" s="527" t="s">
        <v>508</v>
      </c>
      <c r="AA17" s="527" t="str">
        <f>if(isnumber(find("dragon hide",feats)),"Claw 1d4 slashing","-")</f>
        <v>-</v>
      </c>
      <c r="AE17" s="527" t="s">
        <v>321</v>
      </c>
      <c r="AJ17" s="527" t="s">
        <v>321</v>
      </c>
      <c r="AO17" s="529"/>
    </row>
    <row r="18" ht="15.75" customHeight="1">
      <c r="A18" s="505"/>
      <c r="B18" s="530" t="s">
        <v>511</v>
      </c>
      <c r="F18" s="531" t="s">
        <v>506</v>
      </c>
      <c r="I18" s="531" t="str">
        <f>"1"&amp;if(isnumber(find("dragon hide",feats)),"3","0")&amp;"+dex"</f>
        <v>10+dex</v>
      </c>
      <c r="K18" s="531">
        <v>30.0</v>
      </c>
      <c r="N18" s="531" t="s">
        <v>321</v>
      </c>
      <c r="P18" s="531" t="s">
        <v>512</v>
      </c>
      <c r="X18" s="531" t="s">
        <v>508</v>
      </c>
      <c r="AA18" s="531" t="str">
        <f>if(isnumber(find("dragon hide",feats)),"Claw 1d4 slashing","-")</f>
        <v>-</v>
      </c>
      <c r="AE18" s="531" t="s">
        <v>321</v>
      </c>
      <c r="AJ18" s="531" t="s">
        <v>321</v>
      </c>
      <c r="AO18" s="533"/>
    </row>
    <row r="19" ht="15.75" customHeight="1">
      <c r="A19" s="505"/>
      <c r="B19" s="526" t="s">
        <v>513</v>
      </c>
      <c r="F19" s="527" t="s">
        <v>506</v>
      </c>
      <c r="I19" s="527" t="str">
        <f>"1"&amp;if(isnumber(find("dragon hide",feats)),"3","0")&amp;"+dex"</f>
        <v>10+dex</v>
      </c>
      <c r="K19" s="527">
        <v>30.0</v>
      </c>
      <c r="N19" s="527" t="s">
        <v>321</v>
      </c>
      <c r="P19" s="534" t="s">
        <v>510</v>
      </c>
      <c r="X19" s="527" t="s">
        <v>508</v>
      </c>
      <c r="AA19" s="527" t="str">
        <f>if(isnumber(find("dragon hide",feats)),"Claw 1d4 slashing","-")</f>
        <v>-</v>
      </c>
      <c r="AE19" s="527" t="s">
        <v>321</v>
      </c>
      <c r="AJ19" s="527" t="s">
        <v>321</v>
      </c>
      <c r="AO19" s="529"/>
    </row>
    <row r="20" ht="15.75" customHeight="1">
      <c r="A20" s="505"/>
      <c r="B20" s="530" t="s">
        <v>514</v>
      </c>
      <c r="F20" s="531" t="s">
        <v>506</v>
      </c>
      <c r="I20" s="531" t="str">
        <f>"1"&amp;if(isnumber(find("dragon hide",feats)),"3","0")&amp;"+dex"</f>
        <v>10+dex</v>
      </c>
      <c r="K20" s="531">
        <v>30.0</v>
      </c>
      <c r="N20" s="531" t="s">
        <v>321</v>
      </c>
      <c r="P20" s="531" t="s">
        <v>507</v>
      </c>
      <c r="X20" s="531" t="s">
        <v>508</v>
      </c>
      <c r="AA20" s="531" t="str">
        <f>if(isnumber(find("dragon hide",feats)),"Claw 1d4 slashing","-")</f>
        <v>-</v>
      </c>
      <c r="AE20" s="531" t="s">
        <v>321</v>
      </c>
      <c r="AJ20" s="531" t="s">
        <v>321</v>
      </c>
      <c r="AO20" s="533"/>
    </row>
    <row r="21" ht="15.75" customHeight="1">
      <c r="A21" s="505"/>
      <c r="B21" s="526" t="s">
        <v>515</v>
      </c>
      <c r="F21" s="527" t="s">
        <v>506</v>
      </c>
      <c r="I21" s="527" t="str">
        <f>"1"&amp;if(isnumber(find("dragon hide",feats)),"3","0")&amp;"+dex"</f>
        <v>10+dex</v>
      </c>
      <c r="K21" s="527">
        <v>30.0</v>
      </c>
      <c r="N21" s="527" t="s">
        <v>321</v>
      </c>
      <c r="P21" s="527" t="s">
        <v>512</v>
      </c>
      <c r="X21" s="527" t="s">
        <v>508</v>
      </c>
      <c r="AA21" s="527" t="str">
        <f>if(isnumber(find("dragon hide",feats)),"Claw 1d4 slashing","-")</f>
        <v>-</v>
      </c>
      <c r="AE21" s="527" t="s">
        <v>321</v>
      </c>
      <c r="AJ21" s="527" t="s">
        <v>321</v>
      </c>
      <c r="AO21" s="529"/>
    </row>
    <row r="22" ht="15.75" customHeight="1">
      <c r="A22" s="505"/>
      <c r="B22" s="530" t="s">
        <v>516</v>
      </c>
      <c r="F22" s="531" t="s">
        <v>506</v>
      </c>
      <c r="I22" s="531" t="str">
        <f>"1"&amp;if(isnumber(find("dragon hide",feats)),"3","0")&amp;"+dex"</f>
        <v>10+dex</v>
      </c>
      <c r="K22" s="531">
        <v>30.0</v>
      </c>
      <c r="N22" s="531" t="s">
        <v>321</v>
      </c>
      <c r="P22" s="531" t="s">
        <v>517</v>
      </c>
      <c r="X22" s="531" t="s">
        <v>508</v>
      </c>
      <c r="AA22" s="531" t="str">
        <f>if(isnumber(find("dragon hide",feats)),"Claw 1d4 slashing","-")</f>
        <v>-</v>
      </c>
      <c r="AE22" s="531" t="s">
        <v>321</v>
      </c>
      <c r="AJ22" s="531" t="s">
        <v>321</v>
      </c>
      <c r="AO22" s="533"/>
    </row>
    <row r="23" ht="15.75" customHeight="1">
      <c r="A23" s="505"/>
      <c r="B23" s="526" t="s">
        <v>518</v>
      </c>
      <c r="F23" s="527" t="s">
        <v>506</v>
      </c>
      <c r="I23" s="527" t="str">
        <f>"1"&amp;if(isnumber(find("dragon hide",feats)),"3","0")&amp;"+dex"</f>
        <v>10+dex</v>
      </c>
      <c r="K23" s="527">
        <v>30.0</v>
      </c>
      <c r="N23" s="527" t="s">
        <v>321</v>
      </c>
      <c r="P23" s="527" t="s">
        <v>512</v>
      </c>
      <c r="X23" s="527" t="s">
        <v>508</v>
      </c>
      <c r="AA23" s="527" t="str">
        <f>if(isnumber(find("dragon hide",feats)),"Claw 1d4 slashing","-")</f>
        <v>-</v>
      </c>
      <c r="AE23" s="527" t="s">
        <v>321</v>
      </c>
      <c r="AJ23" s="527" t="s">
        <v>321</v>
      </c>
      <c r="AO23" s="529"/>
    </row>
    <row r="24" ht="15.75" customHeight="1">
      <c r="A24" s="505"/>
      <c r="B24" s="530" t="s">
        <v>519</v>
      </c>
      <c r="F24" s="531" t="s">
        <v>506</v>
      </c>
      <c r="I24" s="531" t="str">
        <f>"1"&amp;if(isnumber(find("dragon hide",feats)),"3","0")&amp;"+dex"</f>
        <v>10+dex</v>
      </c>
      <c r="K24" s="531">
        <v>30.0</v>
      </c>
      <c r="N24" s="531" t="s">
        <v>321</v>
      </c>
      <c r="P24" s="531" t="s">
        <v>520</v>
      </c>
      <c r="X24" s="531" t="s">
        <v>508</v>
      </c>
      <c r="AA24" s="531" t="str">
        <f>if(isnumber(find("dragon hide",feats)),"Claw 1d4 slashing","-")</f>
        <v>-</v>
      </c>
      <c r="AE24" s="531" t="s">
        <v>321</v>
      </c>
      <c r="AJ24" s="531" t="s">
        <v>321</v>
      </c>
      <c r="AO24" s="533"/>
    </row>
    <row r="25" ht="15.75" customHeight="1">
      <c r="A25" s="505"/>
      <c r="B25" s="526" t="s">
        <v>521</v>
      </c>
      <c r="F25" s="527" t="s">
        <v>506</v>
      </c>
      <c r="I25" s="527" t="str">
        <f>"1"&amp;if(isnumber(find("dragon hide",feats)),"3","0")&amp;"+dex"</f>
        <v>10+dex</v>
      </c>
      <c r="K25" s="527">
        <v>30.0</v>
      </c>
      <c r="N25" s="527" t="s">
        <v>321</v>
      </c>
      <c r="P25" s="527" t="s">
        <v>520</v>
      </c>
      <c r="X25" s="527" t="s">
        <v>508</v>
      </c>
      <c r="AA25" s="527" t="str">
        <f>if(isnumber(find("dragon hide",feats)),"Claw 1d4 slashing","-")</f>
        <v>-</v>
      </c>
      <c r="AE25" s="527" t="s">
        <v>321</v>
      </c>
      <c r="AJ25" s="527" t="s">
        <v>321</v>
      </c>
      <c r="AO25" s="529"/>
    </row>
    <row r="26" ht="15.75" customHeight="1">
      <c r="A26" s="505"/>
      <c r="B26" s="530"/>
      <c r="F26" s="531"/>
      <c r="I26" s="531"/>
      <c r="K26" s="531"/>
      <c r="N26" s="531"/>
      <c r="P26" s="531"/>
      <c r="X26" s="531"/>
      <c r="AA26" s="531"/>
      <c r="AE26" s="531"/>
      <c r="AJ26" s="531"/>
      <c r="AO26" s="533"/>
    </row>
    <row r="27" ht="15.75" customHeight="1">
      <c r="A27" s="505"/>
      <c r="B27" s="526" t="s">
        <v>522</v>
      </c>
      <c r="F27" s="527" t="s">
        <v>523</v>
      </c>
      <c r="I27" s="527" t="s">
        <v>321</v>
      </c>
      <c r="K27" s="527">
        <v>25.0</v>
      </c>
      <c r="N27" s="527" t="s">
        <v>321</v>
      </c>
      <c r="P27" s="527" t="s">
        <v>321</v>
      </c>
      <c r="X27" s="527" t="s">
        <v>524</v>
      </c>
      <c r="AA27" s="527" t="s">
        <v>321</v>
      </c>
      <c r="AE27" s="527" t="s">
        <v>321</v>
      </c>
      <c r="AJ27" s="527" t="s">
        <v>525</v>
      </c>
      <c r="AO27" s="529"/>
    </row>
    <row r="28" ht="15.75" customHeight="1">
      <c r="A28" s="505"/>
      <c r="B28" s="530" t="s">
        <v>526</v>
      </c>
      <c r="F28" s="531" t="s">
        <v>527</v>
      </c>
      <c r="I28" s="531" t="s">
        <v>321</v>
      </c>
      <c r="K28" s="531">
        <v>30.0</v>
      </c>
      <c r="N28" s="531" t="s">
        <v>321</v>
      </c>
      <c r="P28" s="531" t="s">
        <v>321</v>
      </c>
      <c r="X28" s="531" t="s">
        <v>497</v>
      </c>
      <c r="AA28" s="531" t="s">
        <v>321</v>
      </c>
      <c r="AE28" s="531" t="s">
        <v>321</v>
      </c>
      <c r="AJ28" s="531" t="s">
        <v>528</v>
      </c>
      <c r="AO28" s="533"/>
    </row>
    <row r="29" ht="15.75" customHeight="1">
      <c r="A29" s="505"/>
      <c r="B29" s="526" t="s">
        <v>529</v>
      </c>
      <c r="F29" s="527" t="s">
        <v>530</v>
      </c>
      <c r="I29" s="527" t="s">
        <v>321</v>
      </c>
      <c r="K29" s="527">
        <v>30.0</v>
      </c>
      <c r="N29" s="527" t="s">
        <v>531</v>
      </c>
      <c r="P29" s="527" t="s">
        <v>321</v>
      </c>
      <c r="X29" s="527" t="s">
        <v>532</v>
      </c>
      <c r="AA29" s="527" t="s">
        <v>321</v>
      </c>
      <c r="AE29" s="527" t="s">
        <v>321</v>
      </c>
      <c r="AJ29" s="527" t="s">
        <v>533</v>
      </c>
      <c r="AO29" s="529"/>
    </row>
    <row r="30" ht="15.75" customHeight="1">
      <c r="A30" s="505"/>
      <c r="B30" s="530" t="s">
        <v>534</v>
      </c>
      <c r="F30" s="531" t="s">
        <v>535</v>
      </c>
      <c r="I30" s="531" t="s">
        <v>321</v>
      </c>
      <c r="K30" s="531">
        <v>30.0</v>
      </c>
      <c r="N30" s="531" t="s">
        <v>321</v>
      </c>
      <c r="P30" s="531" t="str">
        <f>"Hellish Resistance
You have resistance to Fire damage."&amp;if(isnumber(find("infernal constitution",feats)),"
Infernal Constitution
You have resistance to Cold and Poison damage.","")</f>
        <v>Hellish Resistance
You have resistance to Fire damage.</v>
      </c>
      <c r="X30" s="531" t="s">
        <v>536</v>
      </c>
      <c r="AA30" s="531" t="s">
        <v>321</v>
      </c>
      <c r="AE30" s="531" t="s">
        <v>321</v>
      </c>
      <c r="AJ30" s="531" t="s">
        <v>321</v>
      </c>
      <c r="AO30" s="533"/>
    </row>
    <row r="31" ht="15.75" customHeight="1">
      <c r="A31" s="505"/>
      <c r="B31" s="526"/>
      <c r="F31" s="527"/>
      <c r="I31" s="527"/>
      <c r="K31" s="527"/>
      <c r="N31" s="527"/>
      <c r="P31" s="527"/>
      <c r="X31" s="527"/>
      <c r="AA31" s="527"/>
      <c r="AE31" s="527"/>
      <c r="AJ31" s="527"/>
      <c r="AO31" s="529"/>
    </row>
    <row r="32" ht="15.75" customHeight="1">
      <c r="A32" s="505"/>
      <c r="B32" s="530"/>
      <c r="F32" s="531"/>
      <c r="I32" s="531"/>
      <c r="K32" s="531"/>
      <c r="N32" s="531"/>
      <c r="P32" s="531"/>
      <c r="X32" s="531"/>
      <c r="AA32" s="531"/>
      <c r="AE32" s="531"/>
      <c r="AJ32" s="531"/>
      <c r="AO32" s="533"/>
    </row>
    <row r="33" ht="15.75" customHeight="1">
      <c r="A33" s="505"/>
      <c r="B33" s="526"/>
      <c r="F33" s="527"/>
      <c r="I33" s="527"/>
      <c r="K33" s="527"/>
      <c r="N33" s="527"/>
      <c r="P33" s="527"/>
      <c r="X33" s="527"/>
      <c r="AA33" s="527"/>
      <c r="AE33" s="527"/>
      <c r="AJ33" s="527"/>
      <c r="AO33" s="529"/>
    </row>
    <row r="34" ht="15.75" customHeight="1">
      <c r="A34" s="505"/>
      <c r="B34" s="530"/>
      <c r="F34" s="531"/>
      <c r="I34" s="531"/>
      <c r="K34" s="531"/>
      <c r="N34" s="531"/>
      <c r="P34" s="531"/>
      <c r="X34" s="531"/>
      <c r="AA34" s="531"/>
      <c r="AE34" s="531"/>
      <c r="AJ34" s="531"/>
      <c r="AO34" s="533"/>
    </row>
    <row r="35" ht="15.75" customHeight="1">
      <c r="A35" s="505"/>
      <c r="B35" s="526"/>
      <c r="F35" s="527"/>
      <c r="I35" s="527"/>
      <c r="K35" s="527"/>
      <c r="N35" s="527"/>
      <c r="P35" s="527"/>
      <c r="X35" s="527"/>
      <c r="AA35" s="527"/>
      <c r="AE35" s="527"/>
      <c r="AJ35" s="527"/>
      <c r="AO35" s="529"/>
    </row>
    <row r="36" ht="15.75" customHeight="1">
      <c r="A36" s="505"/>
      <c r="B36" s="530"/>
      <c r="F36" s="531"/>
      <c r="I36" s="531"/>
      <c r="K36" s="531"/>
      <c r="N36" s="531"/>
      <c r="P36" s="531"/>
      <c r="X36" s="531"/>
      <c r="AA36" s="531"/>
      <c r="AE36" s="531"/>
      <c r="AJ36" s="531"/>
      <c r="AO36" s="533"/>
    </row>
    <row r="37" ht="15.75" customHeight="1">
      <c r="A37" s="505"/>
      <c r="B37" s="526"/>
      <c r="F37" s="527"/>
      <c r="I37" s="527"/>
      <c r="K37" s="527"/>
      <c r="N37" s="527"/>
      <c r="P37" s="527"/>
      <c r="X37" s="527"/>
      <c r="AA37" s="527"/>
      <c r="AE37" s="527"/>
      <c r="AJ37" s="527"/>
      <c r="AO37" s="529"/>
    </row>
    <row r="38" ht="15.75" customHeight="1">
      <c r="A38" s="505"/>
      <c r="B38" s="530"/>
      <c r="F38" s="531"/>
      <c r="I38" s="531"/>
      <c r="K38" s="531"/>
      <c r="N38" s="531"/>
      <c r="P38" s="531"/>
      <c r="X38" s="531"/>
      <c r="AA38" s="531"/>
      <c r="AE38" s="531"/>
      <c r="AJ38" s="531"/>
      <c r="AO38" s="533"/>
    </row>
    <row r="39" ht="15.75" customHeight="1">
      <c r="A39" s="505"/>
      <c r="B39" s="526"/>
      <c r="F39" s="527"/>
      <c r="I39" s="527"/>
      <c r="K39" s="527"/>
      <c r="N39" s="527"/>
      <c r="P39" s="527"/>
      <c r="X39" s="527"/>
      <c r="AA39" s="527"/>
      <c r="AE39" s="527"/>
      <c r="AJ39" s="527"/>
      <c r="AO39" s="529"/>
    </row>
    <row r="40" ht="15.75" customHeight="1">
      <c r="A40" s="505"/>
      <c r="B40" s="530"/>
      <c r="F40" s="531"/>
      <c r="I40" s="531"/>
      <c r="K40" s="531"/>
      <c r="N40" s="531"/>
      <c r="P40" s="531"/>
      <c r="X40" s="531"/>
      <c r="AA40" s="531"/>
      <c r="AE40" s="531"/>
      <c r="AJ40" s="531"/>
      <c r="AO40" s="533"/>
    </row>
    <row r="41" ht="15.75" customHeight="1">
      <c r="A41" s="505"/>
      <c r="B41" s="526"/>
      <c r="F41" s="527"/>
      <c r="I41" s="527"/>
      <c r="K41" s="527"/>
      <c r="N41" s="527"/>
      <c r="P41" s="527"/>
      <c r="X41" s="527"/>
      <c r="AA41" s="527"/>
      <c r="AE41" s="527"/>
      <c r="AJ41" s="527"/>
      <c r="AO41" s="529"/>
    </row>
    <row r="42" ht="15.75" customHeight="1">
      <c r="A42" s="505"/>
      <c r="B42" s="530"/>
      <c r="F42" s="531"/>
      <c r="I42" s="531"/>
      <c r="K42" s="531"/>
      <c r="N42" s="531"/>
      <c r="P42" s="531"/>
      <c r="X42" s="531"/>
      <c r="AA42" s="531"/>
      <c r="AE42" s="531"/>
      <c r="AJ42" s="531"/>
      <c r="AO42" s="533"/>
    </row>
    <row r="43" ht="15.75" customHeight="1">
      <c r="A43" s="505"/>
      <c r="B43" s="526"/>
      <c r="F43" s="527"/>
      <c r="I43" s="527"/>
      <c r="K43" s="527"/>
      <c r="N43" s="527"/>
      <c r="P43" s="527"/>
      <c r="X43" s="527"/>
      <c r="AA43" s="527"/>
      <c r="AE43" s="527"/>
      <c r="AJ43" s="527"/>
      <c r="AO43" s="529"/>
    </row>
    <row r="44" ht="15.75" customHeight="1">
      <c r="A44" s="505"/>
      <c r="B44" s="530"/>
      <c r="F44" s="531"/>
      <c r="I44" s="531"/>
      <c r="K44" s="531"/>
      <c r="N44" s="531"/>
      <c r="P44" s="531"/>
      <c r="X44" s="531"/>
      <c r="AA44" s="531"/>
      <c r="AE44" s="531"/>
      <c r="AJ44" s="531"/>
      <c r="AO44" s="533"/>
    </row>
    <row r="45" ht="15.75" customHeight="1">
      <c r="A45" s="505"/>
      <c r="B45" s="526"/>
      <c r="F45" s="527"/>
      <c r="I45" s="527"/>
      <c r="K45" s="527"/>
      <c r="N45" s="527"/>
      <c r="P45" s="527"/>
      <c r="X45" s="527"/>
      <c r="AA45" s="527"/>
      <c r="AE45" s="527"/>
      <c r="AJ45" s="527"/>
      <c r="AO45" s="529"/>
    </row>
    <row r="46" ht="15.75" customHeight="1">
      <c r="A46" s="505"/>
      <c r="B46" s="530"/>
      <c r="F46" s="531"/>
      <c r="I46" s="531"/>
      <c r="K46" s="531"/>
      <c r="N46" s="531"/>
      <c r="P46" s="531"/>
      <c r="X46" s="531"/>
      <c r="AA46" s="531"/>
      <c r="AE46" s="531"/>
      <c r="AJ46" s="531"/>
      <c r="AO46" s="533"/>
    </row>
    <row r="47" ht="15.75" customHeight="1">
      <c r="A47" s="505"/>
      <c r="B47" s="526"/>
      <c r="F47" s="527"/>
      <c r="I47" s="527"/>
      <c r="K47" s="527"/>
      <c r="N47" s="527"/>
      <c r="P47" s="527"/>
      <c r="X47" s="527"/>
      <c r="AA47" s="527"/>
      <c r="AE47" s="527"/>
      <c r="AJ47" s="527"/>
      <c r="AO47" s="529"/>
    </row>
    <row r="48" ht="15.75" customHeight="1">
      <c r="A48" s="505"/>
      <c r="B48" s="530"/>
      <c r="F48" s="535"/>
      <c r="I48" s="531"/>
      <c r="K48" s="531"/>
      <c r="N48" s="531"/>
      <c r="P48" s="531"/>
      <c r="X48" s="531"/>
      <c r="AA48" s="531"/>
      <c r="AE48" s="531"/>
      <c r="AJ48" s="531"/>
      <c r="AO48" s="533"/>
    </row>
    <row r="49" ht="15.75" customHeight="1">
      <c r="A49" s="505"/>
      <c r="B49" s="526"/>
      <c r="F49" s="527"/>
      <c r="I49" s="527"/>
      <c r="K49" s="527"/>
      <c r="N49" s="527"/>
      <c r="P49" s="527"/>
      <c r="X49" s="527"/>
      <c r="AA49" s="527"/>
      <c r="AE49" s="527"/>
      <c r="AJ49" s="527"/>
      <c r="AO49" s="529"/>
    </row>
    <row r="50" ht="15.75" customHeight="1">
      <c r="A50" s="505"/>
      <c r="B50" s="530"/>
      <c r="F50" s="531"/>
      <c r="I50" s="531"/>
      <c r="K50" s="531"/>
      <c r="N50" s="531"/>
      <c r="P50" s="531"/>
      <c r="X50" s="531"/>
      <c r="AA50" s="531"/>
      <c r="AE50" s="531"/>
      <c r="AJ50" s="531"/>
      <c r="AO50" s="533"/>
    </row>
    <row r="51" ht="15.75" customHeight="1">
      <c r="A51" s="505"/>
      <c r="B51" s="526"/>
      <c r="F51" s="527"/>
      <c r="I51" s="527"/>
      <c r="K51" s="527"/>
      <c r="N51" s="527"/>
      <c r="P51" s="527"/>
      <c r="X51" s="527"/>
      <c r="AA51" s="527"/>
      <c r="AE51" s="527"/>
      <c r="AJ51" s="527"/>
      <c r="AO51" s="529"/>
    </row>
    <row r="52" ht="15.75" customHeight="1">
      <c r="A52" s="505"/>
      <c r="B52" s="530"/>
      <c r="F52" s="531"/>
      <c r="I52" s="531"/>
      <c r="K52" s="531"/>
      <c r="N52" s="531"/>
      <c r="P52" s="531"/>
      <c r="X52" s="531"/>
      <c r="AA52" s="531"/>
      <c r="AE52" s="531"/>
      <c r="AJ52" s="531"/>
      <c r="AO52" s="533"/>
    </row>
    <row r="53" ht="15.75" customHeight="1">
      <c r="A53" s="505"/>
      <c r="B53" s="526"/>
      <c r="F53" s="527"/>
      <c r="I53" s="527"/>
      <c r="K53" s="527"/>
      <c r="N53" s="527"/>
      <c r="P53" s="527"/>
      <c r="X53" s="527"/>
      <c r="AA53" s="527"/>
      <c r="AE53" s="527"/>
      <c r="AJ53" s="527"/>
      <c r="AO53" s="529"/>
    </row>
    <row r="54" ht="15.75" customHeight="1">
      <c r="A54" s="505"/>
      <c r="B54" s="530"/>
      <c r="F54" s="531"/>
      <c r="I54" s="531"/>
      <c r="K54" s="531"/>
      <c r="N54" s="531"/>
      <c r="P54" s="531"/>
      <c r="X54" s="531"/>
      <c r="AA54" s="531"/>
      <c r="AE54" s="531"/>
      <c r="AJ54" s="531"/>
      <c r="AO54" s="533"/>
    </row>
    <row r="55" ht="15.75" customHeight="1">
      <c r="A55" s="505"/>
      <c r="B55" s="526"/>
      <c r="F55" s="527"/>
      <c r="I55" s="527"/>
      <c r="K55" s="527"/>
      <c r="N55" s="527"/>
      <c r="P55" s="527"/>
      <c r="X55" s="527"/>
      <c r="AA55" s="527"/>
      <c r="AE55" s="527"/>
      <c r="AJ55" s="527"/>
      <c r="AO55" s="529"/>
    </row>
    <row r="56" ht="15.75" customHeight="1">
      <c r="A56" s="505"/>
      <c r="B56" s="530"/>
      <c r="F56" s="531"/>
      <c r="I56" s="531"/>
      <c r="K56" s="531"/>
      <c r="N56" s="531"/>
      <c r="P56" s="531"/>
      <c r="X56" s="531"/>
      <c r="AA56" s="531"/>
      <c r="AE56" s="531"/>
      <c r="AJ56" s="531"/>
      <c r="AO56" s="533"/>
    </row>
    <row r="57" ht="15.75" customHeight="1">
      <c r="A57" s="505"/>
      <c r="B57" s="526"/>
      <c r="F57" s="527"/>
      <c r="I57" s="527"/>
      <c r="K57" s="527"/>
      <c r="N57" s="527"/>
      <c r="P57" s="527"/>
      <c r="X57" s="527"/>
      <c r="AA57" s="527"/>
      <c r="AE57" s="527"/>
      <c r="AJ57" s="527"/>
      <c r="AO57" s="529"/>
    </row>
    <row r="58" ht="15.75" customHeight="1">
      <c r="A58" s="505"/>
      <c r="B58" s="530"/>
      <c r="F58" s="531"/>
      <c r="I58" s="531"/>
      <c r="K58" s="531"/>
      <c r="N58" s="531"/>
      <c r="P58" s="531"/>
      <c r="X58" s="531"/>
      <c r="AA58" s="531"/>
      <c r="AE58" s="531"/>
      <c r="AJ58" s="531"/>
      <c r="AO58" s="533"/>
    </row>
    <row r="59" ht="15.75" customHeight="1">
      <c r="A59" s="505"/>
      <c r="B59" s="526"/>
      <c r="F59" s="527"/>
      <c r="I59" s="527"/>
      <c r="K59" s="527"/>
      <c r="N59" s="527"/>
      <c r="P59" s="527"/>
      <c r="X59" s="527"/>
      <c r="AA59" s="527"/>
      <c r="AE59" s="527"/>
      <c r="AJ59" s="527"/>
      <c r="AO59" s="529"/>
    </row>
    <row r="60" ht="15.75" customHeight="1">
      <c r="A60" s="505"/>
      <c r="B60" s="530"/>
      <c r="F60" s="531"/>
      <c r="I60" s="531"/>
      <c r="K60" s="531"/>
      <c r="N60" s="531"/>
      <c r="P60" s="531"/>
      <c r="X60" s="531"/>
      <c r="AA60" s="531"/>
      <c r="AE60" s="531"/>
      <c r="AJ60" s="531"/>
      <c r="AO60" s="533"/>
    </row>
    <row r="61" ht="15.75" customHeight="1">
      <c r="A61" s="505"/>
      <c r="B61" s="526"/>
      <c r="F61" s="527"/>
      <c r="I61" s="527"/>
      <c r="K61" s="527"/>
      <c r="N61" s="527"/>
      <c r="P61" s="527"/>
      <c r="X61" s="527"/>
      <c r="AA61" s="527"/>
      <c r="AE61" s="527"/>
      <c r="AJ61" s="527"/>
      <c r="AO61" s="529"/>
    </row>
    <row r="62" ht="15.75" customHeight="1">
      <c r="A62" s="505"/>
      <c r="B62" s="530"/>
      <c r="F62" s="531"/>
      <c r="I62" s="531"/>
      <c r="K62" s="531"/>
      <c r="N62" s="531"/>
      <c r="P62" s="531"/>
      <c r="X62" s="531"/>
      <c r="AA62" s="531"/>
      <c r="AE62" s="531"/>
      <c r="AJ62" s="531"/>
      <c r="AO62" s="533"/>
    </row>
    <row r="63" ht="15.75" customHeight="1">
      <c r="A63" s="505"/>
      <c r="B63" s="526"/>
      <c r="F63" s="527"/>
      <c r="I63" s="527"/>
      <c r="K63" s="527"/>
      <c r="N63" s="527"/>
      <c r="P63" s="527"/>
      <c r="X63" s="527"/>
      <c r="AA63" s="527"/>
      <c r="AE63" s="527"/>
      <c r="AJ63" s="527"/>
      <c r="AO63" s="529"/>
    </row>
    <row r="64" ht="15.75" customHeight="1">
      <c r="A64" s="505"/>
      <c r="B64" s="530"/>
      <c r="F64" s="531"/>
      <c r="I64" s="531"/>
      <c r="K64" s="531"/>
      <c r="N64" s="531"/>
      <c r="P64" s="531"/>
      <c r="X64" s="531"/>
      <c r="AA64" s="531"/>
      <c r="AE64" s="531"/>
      <c r="AJ64" s="531"/>
      <c r="AO64" s="533"/>
    </row>
    <row r="65" ht="15.75" customHeight="1">
      <c r="A65" s="505"/>
      <c r="B65" s="526"/>
      <c r="F65" s="527"/>
      <c r="I65" s="527"/>
      <c r="K65" s="527"/>
      <c r="N65" s="527"/>
      <c r="P65" s="527"/>
      <c r="X65" s="527"/>
      <c r="AA65" s="527"/>
      <c r="AE65" s="527"/>
      <c r="AJ65" s="527"/>
      <c r="AO65" s="529"/>
    </row>
    <row r="66" ht="15.75" customHeight="1">
      <c r="A66" s="505"/>
      <c r="B66" s="530"/>
      <c r="F66" s="531"/>
      <c r="I66" s="531"/>
      <c r="K66" s="531"/>
      <c r="N66" s="531"/>
      <c r="P66" s="531"/>
      <c r="X66" s="531"/>
      <c r="AA66" s="531"/>
      <c r="AE66" s="531"/>
      <c r="AJ66" s="531"/>
      <c r="AO66" s="533"/>
    </row>
    <row r="67" ht="15.75" customHeight="1">
      <c r="A67" s="505"/>
      <c r="B67" s="526"/>
      <c r="F67" s="527"/>
      <c r="I67" s="527"/>
      <c r="K67" s="527"/>
      <c r="N67" s="527"/>
      <c r="P67" s="527"/>
      <c r="X67" s="527"/>
      <c r="AA67" s="527"/>
      <c r="AE67" s="527"/>
      <c r="AJ67" s="527"/>
      <c r="AO67" s="529"/>
    </row>
    <row r="68" ht="15.75" customHeight="1">
      <c r="A68" s="505"/>
      <c r="B68" s="530"/>
      <c r="F68" s="531"/>
      <c r="I68" s="531"/>
      <c r="K68" s="531"/>
      <c r="N68" s="531"/>
      <c r="P68" s="531"/>
      <c r="X68" s="531"/>
      <c r="AA68" s="531"/>
      <c r="AE68" s="531"/>
      <c r="AJ68" s="531"/>
      <c r="AO68" s="533"/>
    </row>
    <row r="69" ht="15.75" customHeight="1">
      <c r="A69" s="505"/>
      <c r="B69" s="526"/>
      <c r="F69" s="527"/>
      <c r="I69" s="527"/>
      <c r="K69" s="527"/>
      <c r="N69" s="527"/>
      <c r="P69" s="527"/>
      <c r="X69" s="527"/>
      <c r="AA69" s="527"/>
      <c r="AE69" s="527"/>
      <c r="AJ69" s="527"/>
      <c r="AO69" s="529"/>
    </row>
    <row r="70" ht="15.75" customHeight="1">
      <c r="A70" s="505"/>
      <c r="B70" s="530"/>
      <c r="F70" s="531"/>
      <c r="I70" s="531"/>
      <c r="K70" s="531"/>
      <c r="N70" s="531"/>
      <c r="P70" s="531"/>
      <c r="X70" s="531"/>
      <c r="AA70" s="531"/>
      <c r="AE70" s="531"/>
      <c r="AJ70" s="531"/>
      <c r="AO70" s="533"/>
    </row>
    <row r="71" ht="15.75" customHeight="1">
      <c r="A71" s="505"/>
      <c r="B71" s="526"/>
      <c r="F71" s="527"/>
      <c r="I71" s="527"/>
      <c r="K71" s="527"/>
      <c r="N71" s="527"/>
      <c r="P71" s="527"/>
      <c r="X71" s="527"/>
      <c r="AA71" s="527"/>
      <c r="AE71" s="527"/>
      <c r="AJ71" s="527"/>
      <c r="AO71" s="529"/>
    </row>
    <row r="72" ht="15.75" customHeight="1">
      <c r="A72" s="505"/>
      <c r="B72" s="530"/>
      <c r="F72" s="531"/>
      <c r="I72" s="531"/>
      <c r="K72" s="531"/>
      <c r="N72" s="531"/>
      <c r="P72" s="531"/>
      <c r="X72" s="531"/>
      <c r="AA72" s="531"/>
      <c r="AE72" s="531"/>
      <c r="AJ72" s="531"/>
      <c r="AO72" s="533"/>
    </row>
    <row r="73" ht="15.75" customHeight="1">
      <c r="A73" s="505"/>
      <c r="B73" s="526"/>
      <c r="F73" s="527"/>
      <c r="I73" s="527"/>
      <c r="K73" s="527"/>
      <c r="N73" s="527"/>
      <c r="P73" s="527"/>
      <c r="X73" s="527"/>
      <c r="AA73" s="527"/>
      <c r="AE73" s="527"/>
      <c r="AJ73" s="527"/>
      <c r="AO73" s="529"/>
    </row>
    <row r="74" ht="15.75" customHeight="1">
      <c r="A74" s="505"/>
      <c r="B74" s="530"/>
      <c r="F74" s="531"/>
      <c r="I74" s="531"/>
      <c r="K74" s="531"/>
      <c r="N74" s="531"/>
      <c r="P74" s="531"/>
      <c r="X74" s="531"/>
      <c r="AA74" s="531"/>
      <c r="AE74" s="531"/>
      <c r="AJ74" s="531"/>
      <c r="AO74" s="533"/>
    </row>
    <row r="75" ht="15.75" customHeight="1">
      <c r="A75" s="505"/>
      <c r="B75" s="526"/>
      <c r="F75" s="527"/>
      <c r="I75" s="527"/>
      <c r="K75" s="527"/>
      <c r="N75" s="527"/>
      <c r="P75" s="527"/>
      <c r="X75" s="527"/>
      <c r="AA75" s="527"/>
      <c r="AE75" s="527"/>
      <c r="AJ75" s="527"/>
      <c r="AO75" s="529"/>
    </row>
    <row r="76" ht="15.75" customHeight="1">
      <c r="A76" s="505"/>
      <c r="B76" s="530"/>
      <c r="F76" s="531"/>
      <c r="I76" s="531"/>
      <c r="K76" s="531"/>
      <c r="N76" s="531"/>
      <c r="P76" s="531"/>
      <c r="X76" s="531"/>
      <c r="AA76" s="531"/>
      <c r="AE76" s="531"/>
      <c r="AJ76" s="531"/>
      <c r="AO76" s="533"/>
    </row>
    <row r="77" ht="15.75" customHeight="1">
      <c r="A77" s="505"/>
      <c r="B77" s="526"/>
      <c r="F77" s="527"/>
      <c r="I77" s="527"/>
      <c r="K77" s="527"/>
      <c r="N77" s="527"/>
      <c r="P77" s="527"/>
      <c r="X77" s="527"/>
      <c r="AA77" s="527"/>
      <c r="AE77" s="527"/>
      <c r="AJ77" s="527"/>
      <c r="AO77" s="529"/>
    </row>
    <row r="78" ht="15.75" customHeight="1">
      <c r="A78" s="505"/>
      <c r="B78" s="530"/>
      <c r="F78" s="531"/>
      <c r="I78" s="531"/>
      <c r="K78" s="531"/>
      <c r="N78" s="531"/>
      <c r="P78" s="531"/>
      <c r="X78" s="531"/>
      <c r="AA78" s="531"/>
      <c r="AE78" s="531"/>
      <c r="AJ78" s="531"/>
      <c r="AO78" s="533"/>
    </row>
    <row r="79" ht="15.75" customHeight="1">
      <c r="A79" s="505"/>
      <c r="B79" s="526"/>
      <c r="F79" s="527"/>
      <c r="I79" s="527"/>
      <c r="K79" s="527"/>
      <c r="N79" s="527"/>
      <c r="P79" s="527"/>
      <c r="X79" s="527"/>
      <c r="AA79" s="527"/>
      <c r="AE79" s="527"/>
      <c r="AJ79" s="527"/>
      <c r="AO79" s="529"/>
    </row>
    <row r="80" ht="15.75" customHeight="1">
      <c r="A80" s="505"/>
      <c r="B80" s="530"/>
      <c r="F80" s="531"/>
      <c r="I80" s="531"/>
      <c r="K80" s="531"/>
      <c r="N80" s="531"/>
      <c r="P80" s="531"/>
      <c r="X80" s="531"/>
      <c r="AA80" s="531"/>
      <c r="AE80" s="531"/>
      <c r="AJ80" s="531"/>
      <c r="AO80" s="533"/>
    </row>
    <row r="81" ht="15.75" customHeight="1">
      <c r="A81" s="505"/>
      <c r="B81" s="526"/>
      <c r="F81" s="527"/>
      <c r="I81" s="527"/>
      <c r="K81" s="527"/>
      <c r="N81" s="527"/>
      <c r="P81" s="527"/>
      <c r="X81" s="527"/>
      <c r="AA81" s="527"/>
      <c r="AE81" s="527"/>
      <c r="AJ81" s="527"/>
      <c r="AO81" s="529"/>
    </row>
    <row r="82" ht="15.75" customHeight="1">
      <c r="A82" s="505"/>
      <c r="B82" s="530"/>
      <c r="F82" s="531"/>
      <c r="I82" s="531"/>
      <c r="K82" s="531"/>
      <c r="N82" s="531"/>
      <c r="P82" s="531"/>
      <c r="X82" s="531"/>
      <c r="AA82" s="531"/>
      <c r="AE82" s="531"/>
      <c r="AJ82" s="531"/>
      <c r="AO82" s="533"/>
    </row>
    <row r="83" ht="15.75" customHeight="1">
      <c r="A83" s="505"/>
      <c r="B83" s="526"/>
      <c r="F83" s="527"/>
      <c r="I83" s="527"/>
      <c r="K83" s="527"/>
      <c r="N83" s="527"/>
      <c r="P83" s="527"/>
      <c r="X83" s="527"/>
      <c r="AA83" s="527"/>
      <c r="AE83" s="527"/>
      <c r="AJ83" s="527"/>
      <c r="AO83" s="529"/>
    </row>
    <row r="84" ht="15.75" customHeight="1">
      <c r="A84" s="505"/>
      <c r="B84" s="530"/>
      <c r="F84" s="531"/>
      <c r="I84" s="531"/>
      <c r="K84" s="531"/>
      <c r="N84" s="531"/>
      <c r="P84" s="531"/>
      <c r="X84" s="531"/>
      <c r="AA84" s="531"/>
      <c r="AE84" s="531"/>
      <c r="AJ84" s="531"/>
      <c r="AO84" s="533"/>
    </row>
    <row r="85" ht="15.75" customHeight="1">
      <c r="A85" s="505"/>
      <c r="B85" s="526"/>
      <c r="F85" s="527"/>
      <c r="I85" s="527"/>
      <c r="K85" s="527"/>
      <c r="N85" s="527"/>
      <c r="P85" s="527"/>
      <c r="X85" s="527"/>
      <c r="AA85" s="527"/>
      <c r="AE85" s="527"/>
      <c r="AJ85" s="527"/>
      <c r="AO85" s="529"/>
    </row>
    <row r="86" ht="15.75" customHeight="1">
      <c r="A86" s="505"/>
      <c r="B86" s="530"/>
      <c r="F86" s="531"/>
      <c r="I86" s="531"/>
      <c r="K86" s="531"/>
      <c r="N86" s="531"/>
      <c r="P86" s="531"/>
      <c r="X86" s="531"/>
      <c r="AA86" s="531"/>
      <c r="AE86" s="531"/>
      <c r="AJ86" s="531"/>
      <c r="AO86" s="533"/>
    </row>
    <row r="87" ht="15.75" customHeight="1">
      <c r="A87" s="505"/>
      <c r="B87" s="526"/>
      <c r="F87" s="527"/>
      <c r="I87" s="527"/>
      <c r="K87" s="527"/>
      <c r="N87" s="527"/>
      <c r="P87" s="527"/>
      <c r="X87" s="527"/>
      <c r="AA87" s="527"/>
      <c r="AE87" s="527"/>
      <c r="AJ87" s="527"/>
      <c r="AO87" s="529"/>
    </row>
    <row r="88" ht="15.75" customHeight="1">
      <c r="A88" s="505"/>
      <c r="B88" s="530"/>
      <c r="F88" s="531"/>
      <c r="I88" s="531"/>
      <c r="K88" s="531"/>
      <c r="N88" s="531"/>
      <c r="P88" s="531"/>
      <c r="X88" s="531"/>
      <c r="AA88" s="531"/>
      <c r="AE88" s="531"/>
      <c r="AJ88" s="531"/>
      <c r="AO88" s="533"/>
    </row>
    <row r="89" ht="15.75" customHeight="1">
      <c r="A89" s="505"/>
      <c r="B89" s="526"/>
      <c r="F89" s="527"/>
      <c r="I89" s="527"/>
      <c r="K89" s="527"/>
      <c r="N89" s="527"/>
      <c r="P89" s="527"/>
      <c r="X89" s="527"/>
      <c r="AA89" s="527"/>
      <c r="AE89" s="527"/>
      <c r="AJ89" s="527"/>
      <c r="AO89" s="529"/>
    </row>
    <row r="90" ht="15.75" customHeight="1">
      <c r="A90" s="505"/>
      <c r="B90" s="530"/>
      <c r="F90" s="531"/>
      <c r="I90" s="531"/>
      <c r="K90" s="531"/>
      <c r="N90" s="531"/>
      <c r="P90" s="531"/>
      <c r="X90" s="531"/>
      <c r="AA90" s="531"/>
      <c r="AE90" s="531"/>
      <c r="AJ90" s="531"/>
      <c r="AO90" s="533"/>
    </row>
    <row r="91" ht="15.75" customHeight="1">
      <c r="A91" s="505"/>
      <c r="B91" s="526"/>
      <c r="F91" s="527"/>
      <c r="I91" s="527"/>
      <c r="K91" s="527"/>
      <c r="N91" s="527"/>
      <c r="P91" s="527"/>
      <c r="X91" s="527"/>
      <c r="AA91" s="527"/>
      <c r="AE91" s="527"/>
      <c r="AJ91" s="527"/>
      <c r="AO91" s="529"/>
    </row>
    <row r="92" ht="15.75" customHeight="1">
      <c r="A92" s="505"/>
      <c r="B92" s="530"/>
      <c r="F92" s="531"/>
      <c r="I92" s="531"/>
      <c r="K92" s="531"/>
      <c r="N92" s="531"/>
      <c r="P92" s="531"/>
      <c r="X92" s="531"/>
      <c r="AA92" s="531"/>
      <c r="AE92" s="531"/>
      <c r="AJ92" s="531"/>
      <c r="AO92" s="533"/>
    </row>
    <row r="93" ht="15.75" customHeight="1">
      <c r="A93" s="505"/>
      <c r="B93" s="526"/>
      <c r="F93" s="527"/>
      <c r="I93" s="527"/>
      <c r="K93" s="527"/>
      <c r="N93" s="527"/>
      <c r="P93" s="527"/>
      <c r="X93" s="527"/>
      <c r="AA93" s="527"/>
      <c r="AE93" s="527"/>
      <c r="AJ93" s="527"/>
      <c r="AO93" s="529"/>
    </row>
    <row r="94" ht="15.75" customHeight="1">
      <c r="A94" s="505"/>
      <c r="B94" s="530"/>
      <c r="F94" s="531"/>
      <c r="I94" s="531"/>
      <c r="K94" s="531"/>
      <c r="N94" s="531"/>
      <c r="P94" s="531"/>
      <c r="X94" s="531"/>
      <c r="AA94" s="531"/>
      <c r="AE94" s="531"/>
      <c r="AJ94" s="531"/>
      <c r="AO94" s="533"/>
    </row>
    <row r="95" ht="15.75" customHeight="1">
      <c r="A95" s="505"/>
      <c r="B95" s="526"/>
      <c r="F95" s="527"/>
      <c r="I95" s="527"/>
      <c r="K95" s="527"/>
      <c r="N95" s="527"/>
      <c r="P95" s="527"/>
      <c r="X95" s="527"/>
      <c r="AA95" s="527"/>
      <c r="AE95" s="527"/>
      <c r="AJ95" s="527"/>
      <c r="AO95" s="529"/>
    </row>
    <row r="96" ht="15.75" customHeight="1">
      <c r="A96" s="505"/>
      <c r="B96" s="530"/>
      <c r="F96" s="531"/>
      <c r="I96" s="531"/>
      <c r="K96" s="531"/>
      <c r="N96" s="531"/>
      <c r="P96" s="531"/>
      <c r="X96" s="531"/>
      <c r="AA96" s="531"/>
      <c r="AE96" s="531"/>
      <c r="AJ96" s="531"/>
      <c r="AO96" s="533"/>
    </row>
    <row r="97" ht="15.75" customHeight="1">
      <c r="A97" s="505"/>
      <c r="B97" s="526"/>
      <c r="F97" s="527"/>
      <c r="I97" s="527"/>
      <c r="K97" s="527"/>
      <c r="N97" s="527"/>
      <c r="P97" s="527"/>
      <c r="X97" s="527"/>
      <c r="AA97" s="527"/>
      <c r="AE97" s="527"/>
      <c r="AJ97" s="527"/>
      <c r="AO97" s="529"/>
    </row>
    <row r="98" ht="15.75" customHeight="1">
      <c r="A98" s="505"/>
      <c r="B98" s="530"/>
      <c r="F98" s="531"/>
      <c r="I98" s="531"/>
      <c r="K98" s="531"/>
      <c r="N98" s="531"/>
      <c r="P98" s="531"/>
      <c r="X98" s="531"/>
      <c r="AA98" s="531"/>
      <c r="AE98" s="531"/>
      <c r="AJ98" s="531"/>
      <c r="AO98" s="533"/>
    </row>
    <row r="99" ht="15.75" customHeight="1">
      <c r="A99" s="505"/>
      <c r="B99" s="526"/>
      <c r="F99" s="527"/>
      <c r="I99" s="527"/>
      <c r="K99" s="527"/>
      <c r="N99" s="527"/>
      <c r="P99" s="527"/>
      <c r="X99" s="527"/>
      <c r="AA99" s="527"/>
      <c r="AE99" s="527"/>
      <c r="AJ99" s="527"/>
      <c r="AO99" s="529"/>
    </row>
    <row r="100" ht="15.75" customHeight="1">
      <c r="A100" s="505"/>
      <c r="B100" s="530"/>
      <c r="F100" s="531"/>
      <c r="I100" s="531"/>
      <c r="K100" s="531"/>
      <c r="N100" s="531"/>
      <c r="P100" s="531"/>
      <c r="X100" s="531"/>
      <c r="AA100" s="531"/>
      <c r="AE100" s="531"/>
      <c r="AJ100" s="531"/>
      <c r="AO100" s="533"/>
    </row>
    <row r="101" ht="15.75" customHeight="1">
      <c r="A101" s="505"/>
      <c r="B101" s="526"/>
      <c r="F101" s="527"/>
      <c r="I101" s="527"/>
      <c r="K101" s="527"/>
      <c r="N101" s="527"/>
      <c r="P101" s="527"/>
      <c r="X101" s="527"/>
      <c r="AA101" s="527"/>
      <c r="AE101" s="527"/>
      <c r="AJ101" s="527"/>
      <c r="AO101" s="529"/>
    </row>
    <row r="102" ht="15.75" customHeight="1">
      <c r="A102" s="505"/>
      <c r="B102" s="530"/>
      <c r="F102" s="531"/>
      <c r="I102" s="531"/>
      <c r="K102" s="531"/>
      <c r="N102" s="531"/>
      <c r="P102" s="531"/>
      <c r="X102" s="531"/>
      <c r="AA102" s="531"/>
      <c r="AE102" s="531"/>
      <c r="AJ102" s="531"/>
      <c r="AO102" s="533"/>
    </row>
    <row r="103" ht="15.75" customHeight="1">
      <c r="A103" s="505"/>
      <c r="B103" s="526"/>
      <c r="F103" s="527"/>
      <c r="I103" s="527"/>
      <c r="K103" s="527"/>
      <c r="N103" s="527"/>
      <c r="P103" s="527"/>
      <c r="X103" s="527"/>
      <c r="AA103" s="527"/>
      <c r="AE103" s="527"/>
      <c r="AJ103" s="527"/>
      <c r="AO103" s="529"/>
    </row>
    <row r="104" ht="15.75" customHeight="1">
      <c r="A104" s="505"/>
      <c r="B104" s="530"/>
      <c r="F104" s="531"/>
      <c r="I104" s="531"/>
      <c r="K104" s="531"/>
      <c r="N104" s="531"/>
      <c r="P104" s="531"/>
      <c r="X104" s="531"/>
      <c r="AA104" s="531"/>
      <c r="AE104" s="531"/>
      <c r="AJ104" s="531"/>
      <c r="AO104" s="533"/>
    </row>
    <row r="105" ht="15.75" customHeight="1">
      <c r="A105" s="505"/>
      <c r="B105" s="526"/>
      <c r="F105" s="527"/>
      <c r="I105" s="527"/>
      <c r="K105" s="527"/>
      <c r="N105" s="527"/>
      <c r="P105" s="527"/>
      <c r="X105" s="527"/>
      <c r="AA105" s="527"/>
      <c r="AE105" s="527"/>
      <c r="AJ105" s="527"/>
      <c r="AO105" s="529"/>
    </row>
    <row r="106" ht="15.75" customHeight="1">
      <c r="A106" s="505"/>
      <c r="B106" s="530"/>
      <c r="F106" s="531"/>
      <c r="I106" s="531"/>
      <c r="K106" s="531"/>
      <c r="N106" s="531"/>
      <c r="P106" s="531"/>
      <c r="X106" s="531"/>
      <c r="AA106" s="531"/>
      <c r="AE106" s="531"/>
      <c r="AJ106" s="531"/>
      <c r="AO106" s="533"/>
    </row>
    <row r="107" ht="15.75" customHeight="1">
      <c r="A107" s="505"/>
      <c r="B107" s="526"/>
      <c r="F107" s="527"/>
      <c r="I107" s="527"/>
      <c r="K107" s="527"/>
      <c r="N107" s="527"/>
      <c r="P107" s="527"/>
      <c r="X107" s="527"/>
      <c r="AA107" s="527"/>
      <c r="AE107" s="527"/>
      <c r="AJ107" s="527"/>
      <c r="AO107" s="529"/>
    </row>
    <row r="108" ht="15.75" customHeight="1">
      <c r="A108" s="505"/>
      <c r="B108" s="530"/>
      <c r="F108" s="531"/>
      <c r="I108" s="531"/>
      <c r="K108" s="531"/>
      <c r="N108" s="531"/>
      <c r="P108" s="531"/>
      <c r="X108" s="531"/>
      <c r="AA108" s="531"/>
      <c r="AE108" s="531"/>
      <c r="AJ108" s="531"/>
      <c r="AO108" s="533"/>
    </row>
    <row r="109" ht="15.75" customHeight="1">
      <c r="A109" s="505"/>
      <c r="B109" s="526"/>
      <c r="F109" s="527"/>
      <c r="I109" s="527"/>
      <c r="K109" s="527"/>
      <c r="N109" s="527"/>
      <c r="P109" s="527"/>
      <c r="X109" s="527"/>
      <c r="AA109" s="527"/>
      <c r="AE109" s="527"/>
      <c r="AJ109" s="527"/>
      <c r="AO109" s="529"/>
    </row>
    <row r="110" ht="15.75" customHeight="1">
      <c r="A110" s="505"/>
      <c r="B110" s="530"/>
      <c r="F110" s="531"/>
      <c r="I110" s="531"/>
      <c r="K110" s="531"/>
      <c r="N110" s="531"/>
      <c r="P110" s="531"/>
      <c r="X110" s="531"/>
      <c r="AA110" s="531"/>
      <c r="AE110" s="531"/>
      <c r="AJ110" s="531"/>
      <c r="AO110" s="533"/>
    </row>
    <row r="111" ht="15.75" customHeight="1">
      <c r="A111" s="505"/>
      <c r="B111" s="526"/>
      <c r="F111" s="527"/>
      <c r="I111" s="527"/>
      <c r="K111" s="527"/>
      <c r="N111" s="527"/>
      <c r="P111" s="527"/>
      <c r="X111" s="527"/>
      <c r="AA111" s="527"/>
      <c r="AE111" s="527"/>
      <c r="AJ111" s="527"/>
      <c r="AO111" s="529"/>
    </row>
    <row r="112" ht="15.75" customHeight="1">
      <c r="A112" s="505"/>
      <c r="B112" s="530"/>
      <c r="F112" s="531"/>
      <c r="I112" s="531"/>
      <c r="K112" s="531"/>
      <c r="N112" s="531"/>
      <c r="P112" s="531"/>
      <c r="X112" s="531"/>
      <c r="AA112" s="531"/>
      <c r="AE112" s="531"/>
      <c r="AJ112" s="531"/>
      <c r="AO112" s="533"/>
    </row>
    <row r="113" ht="15.75" customHeight="1">
      <c r="A113" s="505"/>
      <c r="B113" s="526"/>
      <c r="F113" s="527"/>
      <c r="I113" s="527"/>
      <c r="K113" s="527"/>
      <c r="N113" s="527"/>
      <c r="P113" s="527"/>
      <c r="X113" s="527"/>
      <c r="AA113" s="527"/>
      <c r="AE113" s="527"/>
      <c r="AJ113" s="527"/>
      <c r="AO113" s="529"/>
    </row>
    <row r="114" ht="15.75" customHeight="1">
      <c r="A114" s="505"/>
      <c r="B114" s="530"/>
      <c r="F114" s="531"/>
      <c r="I114" s="531"/>
      <c r="K114" s="531"/>
      <c r="N114" s="531"/>
      <c r="P114" s="531"/>
      <c r="X114" s="531"/>
      <c r="AA114" s="531"/>
      <c r="AE114" s="531"/>
      <c r="AJ114" s="531"/>
      <c r="AO114" s="533"/>
    </row>
    <row r="115" ht="15.75" customHeight="1">
      <c r="A115" s="505"/>
      <c r="B115" s="526"/>
      <c r="F115" s="527"/>
      <c r="I115" s="527"/>
      <c r="K115" s="527"/>
      <c r="N115" s="527"/>
      <c r="P115" s="527"/>
      <c r="X115" s="527"/>
      <c r="AA115" s="527"/>
      <c r="AE115" s="527"/>
      <c r="AJ115" s="527"/>
      <c r="AO115" s="529"/>
    </row>
    <row r="116" ht="15.75" customHeight="1">
      <c r="A116" s="505"/>
      <c r="B116" s="530"/>
      <c r="F116" s="531"/>
      <c r="I116" s="531"/>
      <c r="K116" s="531"/>
      <c r="N116" s="531"/>
      <c r="P116" s="531"/>
      <c r="X116" s="531"/>
      <c r="AA116" s="531"/>
      <c r="AE116" s="531"/>
      <c r="AJ116" s="531"/>
      <c r="AO116" s="533"/>
    </row>
    <row r="117" ht="15.75" customHeight="1">
      <c r="A117" s="505"/>
      <c r="B117" s="526"/>
      <c r="F117" s="527"/>
      <c r="I117" s="527"/>
      <c r="K117" s="527"/>
      <c r="N117" s="527"/>
      <c r="P117" s="527"/>
      <c r="X117" s="527"/>
      <c r="AA117" s="527"/>
      <c r="AE117" s="527"/>
      <c r="AJ117" s="527"/>
      <c r="AO117" s="529"/>
    </row>
    <row r="118" ht="15.75" customHeight="1">
      <c r="A118" s="505"/>
      <c r="B118" s="538"/>
      <c r="F118" s="535"/>
      <c r="I118" s="535"/>
      <c r="K118" s="531"/>
      <c r="N118" s="535"/>
      <c r="P118" s="535" t="s">
        <v>537</v>
      </c>
      <c r="X118" s="531"/>
      <c r="AA118" s="531"/>
      <c r="AE118" s="531"/>
      <c r="AJ118" s="531"/>
      <c r="AO118" s="533"/>
    </row>
    <row r="119" ht="15.75" customHeight="1">
      <c r="A119" s="505"/>
      <c r="B119" s="526"/>
      <c r="F119" s="527"/>
      <c r="I119" s="527"/>
      <c r="K119" s="527"/>
      <c r="N119" s="527"/>
      <c r="P119" s="527"/>
      <c r="X119" s="527"/>
      <c r="AA119" s="527"/>
      <c r="AE119" s="527"/>
      <c r="AJ119" s="527"/>
      <c r="AO119" s="529"/>
    </row>
    <row r="120" ht="15.75" customHeight="1">
      <c r="A120" s="505"/>
      <c r="B120" s="530"/>
      <c r="F120" s="531"/>
      <c r="I120" s="531"/>
      <c r="K120" s="531"/>
      <c r="N120" s="531"/>
      <c r="P120" s="531"/>
      <c r="X120" s="531"/>
      <c r="AA120" s="531"/>
      <c r="AE120" s="531"/>
      <c r="AJ120" s="531"/>
      <c r="AO120" s="533"/>
    </row>
    <row r="121" ht="15.75" customHeight="1">
      <c r="A121" s="505"/>
      <c r="B121" s="526"/>
      <c r="F121" s="527"/>
      <c r="I121" s="527"/>
      <c r="K121" s="527"/>
      <c r="N121" s="527"/>
      <c r="P121" s="527"/>
      <c r="X121" s="527"/>
      <c r="AA121" s="527"/>
      <c r="AE121" s="527"/>
      <c r="AJ121" s="527"/>
      <c r="AO121" s="529"/>
    </row>
    <row r="122" ht="15.75" customHeight="1">
      <c r="A122" s="505"/>
      <c r="B122" s="530"/>
      <c r="F122" s="531"/>
      <c r="I122" s="531"/>
      <c r="K122" s="531"/>
      <c r="N122" s="531"/>
      <c r="P122" s="531"/>
      <c r="X122" s="531"/>
      <c r="AA122" s="531"/>
      <c r="AE122" s="531"/>
      <c r="AJ122" s="531"/>
      <c r="AO122" s="533"/>
    </row>
    <row r="123" ht="15.75" customHeight="1">
      <c r="A123" s="505"/>
      <c r="B123" s="526"/>
      <c r="F123" s="527"/>
      <c r="I123" s="527"/>
      <c r="K123" s="527"/>
      <c r="N123" s="527"/>
      <c r="P123" s="527"/>
      <c r="X123" s="527"/>
      <c r="AA123" s="527"/>
      <c r="AE123" s="527"/>
      <c r="AJ123" s="527"/>
      <c r="AO123" s="529"/>
    </row>
    <row r="124" ht="15.75" customHeight="1">
      <c r="A124" s="505"/>
      <c r="B124" s="530"/>
      <c r="F124" s="531"/>
      <c r="I124" s="531"/>
      <c r="K124" s="531"/>
      <c r="N124" s="531"/>
      <c r="P124" s="531"/>
      <c r="X124" s="531"/>
      <c r="AA124" s="531"/>
      <c r="AE124" s="531"/>
      <c r="AJ124" s="531"/>
      <c r="AO124" s="533"/>
    </row>
    <row r="125" ht="15.75" customHeight="1">
      <c r="A125" s="505"/>
      <c r="B125" s="526"/>
      <c r="F125" s="527"/>
      <c r="I125" s="527"/>
      <c r="K125" s="527"/>
      <c r="N125" s="527"/>
      <c r="P125" s="527"/>
      <c r="X125" s="527"/>
      <c r="AA125" s="527"/>
      <c r="AE125" s="527"/>
      <c r="AJ125" s="527"/>
      <c r="AO125" s="529"/>
    </row>
    <row r="126" ht="15.75" customHeight="1">
      <c r="A126" s="505"/>
      <c r="B126" s="530"/>
      <c r="F126" s="531"/>
      <c r="I126" s="531"/>
      <c r="K126" s="531"/>
      <c r="N126" s="531"/>
      <c r="P126" s="531"/>
      <c r="X126" s="531"/>
      <c r="AA126" s="531"/>
      <c r="AE126" s="531"/>
      <c r="AJ126" s="531"/>
      <c r="AO126" s="533"/>
    </row>
    <row r="127" ht="15.75" customHeight="1">
      <c r="A127" s="505"/>
      <c r="B127" s="526"/>
      <c r="F127" s="527"/>
      <c r="I127" s="527"/>
      <c r="K127" s="527"/>
      <c r="N127" s="527"/>
      <c r="P127" s="527"/>
      <c r="X127" s="527"/>
      <c r="AA127" s="527"/>
      <c r="AE127" s="527"/>
      <c r="AJ127" s="527"/>
      <c r="AO127" s="529"/>
    </row>
    <row r="128" ht="15.75" customHeight="1">
      <c r="A128" s="505"/>
      <c r="B128" s="530"/>
      <c r="F128" s="531"/>
      <c r="I128" s="531"/>
      <c r="K128" s="531"/>
      <c r="N128" s="531"/>
      <c r="P128" s="531"/>
      <c r="X128" s="531"/>
      <c r="AA128" s="531"/>
      <c r="AE128" s="531"/>
      <c r="AJ128" s="531"/>
      <c r="AO128" s="533"/>
    </row>
    <row r="129" ht="15.75" customHeight="1">
      <c r="A129" s="505"/>
      <c r="B129" s="526"/>
      <c r="F129" s="527"/>
      <c r="I129" s="527"/>
      <c r="K129" s="527"/>
      <c r="N129" s="527"/>
      <c r="P129" s="527"/>
      <c r="X129" s="527"/>
      <c r="AA129" s="527"/>
      <c r="AE129" s="527"/>
      <c r="AJ129" s="527"/>
      <c r="AO129" s="529"/>
    </row>
    <row r="130" ht="15.75" customHeight="1">
      <c r="A130" s="505"/>
      <c r="B130" s="530"/>
      <c r="F130" s="531"/>
      <c r="I130" s="531"/>
      <c r="K130" s="531"/>
      <c r="N130" s="531"/>
      <c r="P130" s="531"/>
      <c r="X130" s="531"/>
      <c r="AA130" s="531"/>
      <c r="AE130" s="531"/>
      <c r="AJ130" s="531"/>
      <c r="AO130" s="533"/>
    </row>
    <row r="131" ht="15.75" customHeight="1">
      <c r="A131" s="505"/>
      <c r="B131" s="526"/>
      <c r="F131" s="527"/>
      <c r="I131" s="527"/>
      <c r="K131" s="527"/>
      <c r="N131" s="527"/>
      <c r="P131" s="527"/>
      <c r="X131" s="527"/>
      <c r="AA131" s="527"/>
      <c r="AE131" s="527"/>
      <c r="AJ131" s="527"/>
      <c r="AO131" s="529"/>
    </row>
    <row r="132" ht="15.75" customHeight="1">
      <c r="A132" s="505"/>
      <c r="B132" s="530"/>
      <c r="F132" s="531"/>
      <c r="I132" s="531"/>
      <c r="K132" s="531"/>
      <c r="N132" s="531"/>
      <c r="P132" s="531"/>
      <c r="X132" s="531"/>
      <c r="AA132" s="531"/>
      <c r="AE132" s="531"/>
      <c r="AJ132" s="531"/>
      <c r="AO132" s="533"/>
    </row>
    <row r="133" ht="15.75" customHeight="1">
      <c r="A133" s="505"/>
      <c r="B133" s="526"/>
      <c r="F133" s="527"/>
      <c r="I133" s="527"/>
      <c r="K133" s="527"/>
      <c r="N133" s="527"/>
      <c r="P133" s="527"/>
      <c r="X133" s="527"/>
      <c r="AA133" s="527"/>
      <c r="AE133" s="527"/>
      <c r="AJ133" s="527"/>
      <c r="AO133" s="529"/>
    </row>
    <row r="134" ht="15.75" customHeight="1">
      <c r="A134" s="505"/>
      <c r="B134" s="530"/>
      <c r="F134" s="531"/>
      <c r="I134" s="531"/>
      <c r="K134" s="531"/>
      <c r="N134" s="531"/>
      <c r="P134" s="531"/>
      <c r="X134" s="531"/>
      <c r="AA134" s="531"/>
      <c r="AE134" s="531"/>
      <c r="AJ134" s="531"/>
      <c r="AO134" s="533"/>
    </row>
    <row r="135" ht="15.75" customHeight="1">
      <c r="A135" s="505"/>
      <c r="B135" s="526"/>
      <c r="F135" s="527"/>
      <c r="I135" s="527"/>
      <c r="K135" s="527"/>
      <c r="N135" s="527"/>
      <c r="P135" s="527"/>
      <c r="X135" s="527"/>
      <c r="AA135" s="527"/>
      <c r="AE135" s="527"/>
      <c r="AJ135" s="527"/>
      <c r="AO135" s="529"/>
    </row>
    <row r="136" ht="15.75" customHeight="1">
      <c r="A136" s="505"/>
      <c r="B136" s="530"/>
      <c r="F136" s="531"/>
      <c r="I136" s="531"/>
      <c r="K136" s="531"/>
      <c r="N136" s="531"/>
      <c r="P136" s="531"/>
      <c r="X136" s="531"/>
      <c r="AA136" s="531"/>
      <c r="AE136" s="531"/>
      <c r="AJ136" s="531"/>
      <c r="AO136" s="533"/>
    </row>
    <row r="137" ht="15.75" customHeight="1">
      <c r="A137" s="505"/>
      <c r="B137" s="526"/>
      <c r="F137" s="527"/>
      <c r="I137" s="527"/>
      <c r="K137" s="527"/>
      <c r="N137" s="527"/>
      <c r="P137" s="527"/>
      <c r="X137" s="527"/>
      <c r="AA137" s="527"/>
      <c r="AE137" s="527"/>
      <c r="AJ137" s="527"/>
      <c r="AO137" s="529"/>
    </row>
    <row r="138" ht="15.75" customHeight="1">
      <c r="A138" s="505"/>
      <c r="B138" s="530"/>
      <c r="F138" s="531"/>
      <c r="I138" s="531"/>
      <c r="K138" s="531"/>
      <c r="N138" s="531"/>
      <c r="P138" s="531"/>
      <c r="X138" s="531"/>
      <c r="AA138" s="531"/>
      <c r="AE138" s="531"/>
      <c r="AJ138" s="531"/>
      <c r="AO138" s="533"/>
    </row>
    <row r="139" ht="15.75" customHeight="1">
      <c r="A139" s="505"/>
      <c r="B139" s="526"/>
      <c r="F139" s="527"/>
      <c r="I139" s="527"/>
      <c r="K139" s="527"/>
      <c r="N139" s="527"/>
      <c r="P139" s="527"/>
      <c r="X139" s="527"/>
      <c r="AA139" s="527"/>
      <c r="AE139" s="527"/>
      <c r="AJ139" s="527"/>
      <c r="AO139" s="529"/>
    </row>
    <row r="140" ht="15.75" customHeight="1">
      <c r="A140" s="505"/>
      <c r="B140" s="530"/>
      <c r="F140" s="531"/>
      <c r="I140" s="531"/>
      <c r="K140" s="531"/>
      <c r="N140" s="531"/>
      <c r="P140" s="531"/>
      <c r="X140" s="531"/>
      <c r="AA140" s="531"/>
      <c r="AE140" s="531"/>
      <c r="AJ140" s="531"/>
      <c r="AO140" s="533"/>
    </row>
    <row r="141" ht="15.75" customHeight="1">
      <c r="A141" s="505"/>
      <c r="B141" s="526"/>
      <c r="F141" s="527"/>
      <c r="I141" s="527"/>
      <c r="K141" s="527"/>
      <c r="N141" s="527"/>
      <c r="P141" s="527"/>
      <c r="X141" s="527"/>
      <c r="AA141" s="527"/>
      <c r="AE141" s="527"/>
      <c r="AJ141" s="527"/>
      <c r="AO141" s="529"/>
    </row>
    <row r="142" ht="15.75" customHeight="1">
      <c r="A142" s="505"/>
      <c r="B142" s="530"/>
      <c r="F142" s="531"/>
      <c r="I142" s="531"/>
      <c r="K142" s="531"/>
      <c r="N142" s="531"/>
      <c r="P142" s="531"/>
      <c r="X142" s="531"/>
      <c r="AA142" s="531"/>
      <c r="AE142" s="531"/>
      <c r="AJ142" s="531"/>
      <c r="AO142" s="533"/>
    </row>
    <row r="143" ht="15.75" customHeight="1">
      <c r="A143" s="505"/>
      <c r="B143" s="526"/>
      <c r="F143" s="527"/>
      <c r="I143" s="527"/>
      <c r="K143" s="527"/>
      <c r="N143" s="527"/>
      <c r="P143" s="527"/>
      <c r="X143" s="527"/>
      <c r="AA143" s="527"/>
      <c r="AE143" s="527"/>
      <c r="AJ143" s="527"/>
      <c r="AO143" s="529"/>
    </row>
    <row r="144" ht="15.75" customHeight="1">
      <c r="A144" s="505"/>
      <c r="B144" s="530"/>
      <c r="F144" s="531"/>
      <c r="I144" s="531"/>
      <c r="K144" s="531"/>
      <c r="N144" s="531"/>
      <c r="P144" s="531"/>
      <c r="X144" s="531"/>
      <c r="AA144" s="531"/>
      <c r="AE144" s="531"/>
      <c r="AJ144" s="531"/>
      <c r="AO144" s="533"/>
    </row>
    <row r="145" ht="15.75" customHeight="1">
      <c r="A145" s="505"/>
      <c r="B145" s="526"/>
      <c r="F145" s="527"/>
      <c r="I145" s="527"/>
      <c r="K145" s="527"/>
      <c r="N145" s="527"/>
      <c r="P145" s="527"/>
      <c r="X145" s="527"/>
      <c r="AA145" s="527"/>
      <c r="AE145" s="527"/>
      <c r="AJ145" s="527"/>
      <c r="AO145" s="529"/>
    </row>
    <row r="146" ht="15.75" customHeight="1">
      <c r="A146" s="505"/>
      <c r="B146" s="530"/>
      <c r="F146" s="531"/>
      <c r="I146" s="531"/>
      <c r="K146" s="531"/>
      <c r="N146" s="531"/>
      <c r="P146" s="531"/>
      <c r="X146" s="531"/>
      <c r="AA146" s="531"/>
      <c r="AE146" s="531"/>
      <c r="AJ146" s="531"/>
      <c r="AO146" s="533"/>
    </row>
    <row r="147" ht="15.75" customHeight="1">
      <c r="A147" s="505"/>
      <c r="B147" s="526"/>
      <c r="F147" s="527"/>
      <c r="I147" s="527"/>
      <c r="K147" s="527"/>
      <c r="N147" s="527"/>
      <c r="P147" s="527"/>
      <c r="X147" s="527"/>
      <c r="AA147" s="527"/>
      <c r="AE147" s="527"/>
      <c r="AJ147" s="527"/>
      <c r="AO147" s="529"/>
    </row>
    <row r="148" ht="15.75" customHeight="1">
      <c r="A148" s="505"/>
      <c r="B148" s="530"/>
      <c r="F148" s="531"/>
      <c r="I148" s="531"/>
      <c r="K148" s="531"/>
      <c r="N148" s="531"/>
      <c r="P148" s="531"/>
      <c r="X148" s="531"/>
      <c r="AA148" s="531"/>
      <c r="AE148" s="531"/>
      <c r="AJ148" s="531"/>
      <c r="AO148" s="533"/>
    </row>
    <row r="149" ht="15.75" customHeight="1">
      <c r="A149" s="505"/>
      <c r="B149" s="526"/>
      <c r="F149" s="527"/>
      <c r="I149" s="527"/>
      <c r="K149" s="527"/>
      <c r="N149" s="527"/>
      <c r="P149" s="527"/>
      <c r="X149" s="527"/>
      <c r="AA149" s="527"/>
      <c r="AE149" s="527"/>
      <c r="AJ149" s="527"/>
      <c r="AO149" s="529"/>
    </row>
    <row r="150" ht="15.75" customHeight="1">
      <c r="A150" s="505"/>
      <c r="B150" s="530"/>
      <c r="F150" s="531"/>
      <c r="I150" s="531"/>
      <c r="K150" s="531"/>
      <c r="N150" s="531"/>
      <c r="P150" s="531"/>
      <c r="X150" s="531"/>
      <c r="AA150" s="531"/>
      <c r="AE150" s="531"/>
      <c r="AJ150" s="531"/>
      <c r="AO150" s="533"/>
    </row>
    <row r="151" ht="15.75" customHeight="1">
      <c r="A151" s="505"/>
      <c r="B151" s="526"/>
      <c r="F151" s="527"/>
      <c r="I151" s="527"/>
      <c r="K151" s="527"/>
      <c r="N151" s="527"/>
      <c r="P151" s="527"/>
      <c r="X151" s="527"/>
      <c r="AA151" s="527"/>
      <c r="AE151" s="527"/>
      <c r="AJ151" s="527"/>
      <c r="AO151" s="529"/>
    </row>
    <row r="152" ht="15.75" customHeight="1">
      <c r="A152" s="505"/>
      <c r="B152" s="530"/>
      <c r="F152" s="531"/>
      <c r="I152" s="531"/>
      <c r="K152" s="531"/>
      <c r="N152" s="531"/>
      <c r="P152" s="531"/>
      <c r="X152" s="531"/>
      <c r="AA152" s="531"/>
      <c r="AE152" s="531"/>
      <c r="AJ152" s="531"/>
      <c r="AO152" s="533"/>
    </row>
    <row r="153" ht="15.75" customHeight="1">
      <c r="A153" s="505"/>
      <c r="B153" s="526"/>
      <c r="F153" s="527"/>
      <c r="I153" s="527"/>
      <c r="K153" s="527"/>
      <c r="N153" s="527"/>
      <c r="P153" s="527"/>
      <c r="X153" s="527"/>
      <c r="AA153" s="527"/>
      <c r="AE153" s="527"/>
      <c r="AJ153" s="527"/>
      <c r="AO153" s="529"/>
    </row>
    <row r="154" ht="15.75" customHeight="1">
      <c r="A154" s="505"/>
      <c r="B154" s="530"/>
      <c r="F154" s="531"/>
      <c r="I154" s="531"/>
      <c r="K154" s="531"/>
      <c r="N154" s="531"/>
      <c r="P154" s="531"/>
      <c r="X154" s="531"/>
      <c r="AA154" s="531"/>
      <c r="AE154" s="531"/>
      <c r="AJ154" s="531"/>
      <c r="AO154" s="533"/>
    </row>
    <row r="155" ht="15.75" customHeight="1">
      <c r="A155" s="505"/>
      <c r="B155" s="526"/>
      <c r="F155" s="527"/>
      <c r="I155" s="527"/>
      <c r="K155" s="527"/>
      <c r="N155" s="527"/>
      <c r="P155" s="527"/>
      <c r="X155" s="527"/>
      <c r="AA155" s="527"/>
      <c r="AE155" s="527"/>
      <c r="AJ155" s="527"/>
      <c r="AO155" s="529"/>
    </row>
    <row r="156" ht="15.75" customHeight="1">
      <c r="A156" s="505"/>
      <c r="B156" s="530"/>
      <c r="F156" s="531"/>
      <c r="I156" s="531"/>
      <c r="K156" s="531"/>
      <c r="N156" s="531"/>
      <c r="P156" s="531"/>
      <c r="X156" s="531"/>
      <c r="AA156" s="531"/>
      <c r="AE156" s="531"/>
      <c r="AJ156" s="531"/>
      <c r="AO156" s="533"/>
    </row>
    <row r="157" ht="15.75" customHeight="1">
      <c r="A157" s="505"/>
      <c r="B157" s="526"/>
      <c r="F157" s="527"/>
      <c r="I157" s="527"/>
      <c r="K157" s="527"/>
      <c r="N157" s="527"/>
      <c r="P157" s="527"/>
      <c r="X157" s="527"/>
      <c r="AA157" s="527"/>
      <c r="AE157" s="527"/>
      <c r="AJ157" s="527"/>
      <c r="AO157" s="529"/>
    </row>
    <row r="158" ht="15.75" customHeight="1">
      <c r="A158" s="505"/>
      <c r="B158" s="530"/>
      <c r="F158" s="531"/>
      <c r="I158" s="531"/>
      <c r="K158" s="531"/>
      <c r="N158" s="531"/>
      <c r="P158" s="531"/>
      <c r="X158" s="531"/>
      <c r="AA158" s="531"/>
      <c r="AE158" s="531"/>
      <c r="AJ158" s="531"/>
      <c r="AO158" s="533"/>
    </row>
    <row r="159" ht="15.75" customHeight="1">
      <c r="A159" s="505"/>
      <c r="B159" s="526"/>
      <c r="F159" s="527"/>
      <c r="I159" s="527"/>
      <c r="K159" s="527"/>
      <c r="N159" s="527"/>
      <c r="P159" s="527"/>
      <c r="X159" s="527"/>
      <c r="AA159" s="527"/>
      <c r="AE159" s="527"/>
      <c r="AJ159" s="527"/>
      <c r="AO159" s="529"/>
    </row>
    <row r="160" ht="15.75" customHeight="1">
      <c r="A160" s="505"/>
      <c r="B160" s="530"/>
      <c r="F160" s="531"/>
      <c r="I160" s="531"/>
      <c r="K160" s="531"/>
      <c r="N160" s="531"/>
      <c r="P160" s="531"/>
      <c r="X160" s="531"/>
      <c r="AA160" s="531"/>
      <c r="AE160" s="531"/>
      <c r="AJ160" s="531"/>
      <c r="AO160" s="533"/>
    </row>
    <row r="161" ht="15.75" customHeight="1">
      <c r="A161" s="505"/>
      <c r="B161" s="526"/>
      <c r="F161" s="527"/>
      <c r="I161" s="527"/>
      <c r="K161" s="527"/>
      <c r="N161" s="527"/>
      <c r="P161" s="527"/>
      <c r="X161" s="527"/>
      <c r="AA161" s="527"/>
      <c r="AE161" s="527"/>
      <c r="AJ161" s="527"/>
      <c r="AO161" s="529"/>
    </row>
    <row r="162" ht="15.75" customHeight="1">
      <c r="A162" s="505"/>
      <c r="B162" s="530"/>
      <c r="F162" s="531"/>
      <c r="I162" s="531"/>
      <c r="K162" s="531"/>
      <c r="N162" s="531"/>
      <c r="P162" s="531"/>
      <c r="X162" s="531"/>
      <c r="AA162" s="531"/>
      <c r="AE162" s="531"/>
      <c r="AJ162" s="531"/>
      <c r="AO162" s="533"/>
    </row>
    <row r="163" ht="15.75" customHeight="1">
      <c r="A163" s="505"/>
      <c r="B163" s="526"/>
      <c r="F163" s="527"/>
      <c r="I163" s="527"/>
      <c r="K163" s="527"/>
      <c r="N163" s="527"/>
      <c r="P163" s="527"/>
      <c r="X163" s="527"/>
      <c r="AA163" s="527"/>
      <c r="AE163" s="527"/>
      <c r="AJ163" s="527"/>
      <c r="AO163" s="529"/>
    </row>
    <row r="164" ht="15.75" customHeight="1">
      <c r="A164" s="505"/>
      <c r="B164" s="530"/>
      <c r="F164" s="531"/>
      <c r="I164" s="531"/>
      <c r="K164" s="531"/>
      <c r="N164" s="531"/>
      <c r="P164" s="531"/>
      <c r="X164" s="531"/>
      <c r="AA164" s="531"/>
      <c r="AE164" s="531"/>
      <c r="AJ164" s="531"/>
      <c r="AO164" s="533"/>
    </row>
    <row r="165" ht="15.75" customHeight="1">
      <c r="A165" s="505"/>
      <c r="B165" s="526"/>
      <c r="F165" s="527"/>
      <c r="I165" s="527"/>
      <c r="K165" s="527"/>
      <c r="N165" s="527"/>
      <c r="P165" s="527"/>
      <c r="X165" s="527"/>
      <c r="AA165" s="527"/>
      <c r="AE165" s="527"/>
      <c r="AJ165" s="527"/>
      <c r="AO165" s="529"/>
    </row>
    <row r="166" ht="15.75" customHeight="1">
      <c r="A166" s="505"/>
      <c r="B166" s="530"/>
      <c r="F166" s="531"/>
      <c r="I166" s="531"/>
      <c r="K166" s="531"/>
      <c r="N166" s="531"/>
      <c r="P166" s="531"/>
      <c r="X166" s="531"/>
      <c r="AA166" s="531"/>
      <c r="AE166" s="531"/>
      <c r="AJ166" s="531"/>
      <c r="AO166" s="533"/>
    </row>
    <row r="167" ht="15.75" customHeight="1">
      <c r="A167" s="505"/>
      <c r="B167" s="526"/>
      <c r="F167" s="527"/>
      <c r="I167" s="527"/>
      <c r="K167" s="527"/>
      <c r="N167" s="527"/>
      <c r="P167" s="527"/>
      <c r="X167" s="527"/>
      <c r="AA167" s="527"/>
      <c r="AE167" s="527"/>
      <c r="AJ167" s="527"/>
      <c r="AO167" s="529"/>
    </row>
    <row r="168" ht="15.75" customHeight="1">
      <c r="A168" s="505"/>
      <c r="B168" s="530"/>
      <c r="F168" s="531"/>
      <c r="I168" s="531"/>
      <c r="K168" s="531"/>
      <c r="N168" s="531"/>
      <c r="P168" s="531"/>
      <c r="X168" s="531"/>
      <c r="AA168" s="531"/>
      <c r="AE168" s="531"/>
      <c r="AJ168" s="531"/>
      <c r="AO168" s="533"/>
    </row>
    <row r="169" ht="15.75" customHeight="1">
      <c r="A169" s="505"/>
      <c r="B169" s="526"/>
      <c r="F169" s="527"/>
      <c r="I169" s="527"/>
      <c r="K169" s="527"/>
      <c r="N169" s="527"/>
      <c r="P169" s="527"/>
      <c r="X169" s="527"/>
      <c r="AA169" s="527"/>
      <c r="AE169" s="527"/>
      <c r="AJ169" s="527"/>
      <c r="AO169" s="529"/>
    </row>
    <row r="170" ht="15.75" customHeight="1">
      <c r="A170" s="505"/>
      <c r="B170" s="530"/>
      <c r="F170" s="531"/>
      <c r="I170" s="531"/>
      <c r="K170" s="531"/>
      <c r="N170" s="531"/>
      <c r="P170" s="531"/>
      <c r="X170" s="531"/>
      <c r="AA170" s="531"/>
      <c r="AE170" s="531"/>
      <c r="AJ170" s="531"/>
      <c r="AO170" s="533"/>
    </row>
    <row r="171" ht="15.75" customHeight="1">
      <c r="A171" s="505"/>
      <c r="B171" s="526"/>
      <c r="F171" s="527"/>
      <c r="I171" s="527"/>
      <c r="K171" s="527"/>
      <c r="N171" s="527"/>
      <c r="P171" s="527"/>
      <c r="X171" s="527"/>
      <c r="AA171" s="527"/>
      <c r="AE171" s="527"/>
      <c r="AJ171" s="527"/>
      <c r="AO171" s="529"/>
    </row>
    <row r="172" ht="15.75" customHeight="1">
      <c r="A172" s="505"/>
      <c r="B172" s="530"/>
      <c r="F172" s="531"/>
      <c r="I172" s="531"/>
      <c r="K172" s="531"/>
      <c r="N172" s="531"/>
      <c r="P172" s="531"/>
      <c r="X172" s="531"/>
      <c r="AA172" s="531"/>
      <c r="AE172" s="531"/>
      <c r="AJ172" s="531"/>
      <c r="AO172" s="533"/>
    </row>
    <row r="173" ht="15.75" customHeight="1">
      <c r="A173" s="505"/>
      <c r="B173" s="526"/>
      <c r="F173" s="527"/>
      <c r="I173" s="527"/>
      <c r="K173" s="527"/>
      <c r="N173" s="527"/>
      <c r="P173" s="527"/>
      <c r="X173" s="527"/>
      <c r="AA173" s="527"/>
      <c r="AE173" s="527"/>
      <c r="AJ173" s="527"/>
      <c r="AO173" s="529"/>
    </row>
    <row r="174" ht="15.75" customHeight="1">
      <c r="A174" s="505"/>
      <c r="B174" s="530"/>
      <c r="F174" s="531"/>
      <c r="I174" s="531"/>
      <c r="K174" s="531"/>
      <c r="N174" s="531"/>
      <c r="P174" s="531"/>
      <c r="X174" s="531"/>
      <c r="AA174" s="531"/>
      <c r="AE174" s="531"/>
      <c r="AJ174" s="531"/>
      <c r="AO174" s="533"/>
    </row>
    <row r="175" ht="15.75" customHeight="1">
      <c r="A175" s="505"/>
      <c r="B175" s="526"/>
      <c r="F175" s="527"/>
      <c r="I175" s="527"/>
      <c r="K175" s="527"/>
      <c r="N175" s="527"/>
      <c r="P175" s="527"/>
      <c r="X175" s="527"/>
      <c r="AA175" s="527"/>
      <c r="AE175" s="527"/>
      <c r="AJ175" s="527"/>
      <c r="AO175" s="529"/>
    </row>
    <row r="176" ht="15.75" customHeight="1">
      <c r="A176" s="505"/>
      <c r="B176" s="530"/>
      <c r="F176" s="531"/>
      <c r="I176" s="531"/>
      <c r="K176" s="531"/>
      <c r="N176" s="531"/>
      <c r="P176" s="531"/>
      <c r="X176" s="531"/>
      <c r="AA176" s="531"/>
      <c r="AE176" s="531"/>
      <c r="AJ176" s="531"/>
      <c r="AO176" s="533"/>
    </row>
    <row r="177" ht="15.75" customHeight="1">
      <c r="A177" s="505"/>
      <c r="B177" s="526"/>
      <c r="F177" s="527"/>
      <c r="I177" s="527"/>
      <c r="K177" s="527"/>
      <c r="N177" s="527"/>
      <c r="P177" s="527"/>
      <c r="X177" s="527"/>
      <c r="AA177" s="527"/>
      <c r="AE177" s="527"/>
      <c r="AJ177" s="527"/>
      <c r="AO177" s="529"/>
    </row>
    <row r="178" ht="15.75" customHeight="1">
      <c r="A178" s="505"/>
      <c r="B178" s="530"/>
      <c r="F178" s="531"/>
      <c r="I178" s="531"/>
      <c r="K178" s="531"/>
      <c r="N178" s="531"/>
      <c r="P178" s="531"/>
      <c r="X178" s="531"/>
      <c r="AA178" s="531"/>
      <c r="AE178" s="531"/>
      <c r="AJ178" s="531"/>
      <c r="AO178" s="533"/>
    </row>
    <row r="179" ht="15.75" customHeight="1">
      <c r="A179" s="505"/>
      <c r="B179" s="526"/>
      <c r="F179" s="527"/>
      <c r="I179" s="527"/>
      <c r="K179" s="527"/>
      <c r="N179" s="527"/>
      <c r="P179" s="527"/>
      <c r="X179" s="527"/>
      <c r="AA179" s="527"/>
      <c r="AE179" s="527"/>
      <c r="AJ179" s="527"/>
      <c r="AO179" s="529"/>
    </row>
    <row r="180" ht="15.75" customHeight="1">
      <c r="A180" s="505"/>
      <c r="B180" s="530"/>
      <c r="F180" s="531"/>
      <c r="I180" s="531"/>
      <c r="K180" s="531"/>
      <c r="N180" s="531"/>
      <c r="P180" s="531"/>
      <c r="X180" s="531"/>
      <c r="AA180" s="531"/>
      <c r="AE180" s="531"/>
      <c r="AJ180" s="531"/>
      <c r="AO180" s="533"/>
    </row>
    <row r="181" ht="15.75" customHeight="1">
      <c r="A181" s="505"/>
      <c r="B181" s="526"/>
      <c r="F181" s="527"/>
      <c r="I181" s="527"/>
      <c r="K181" s="527"/>
      <c r="N181" s="527"/>
      <c r="P181" s="527"/>
      <c r="X181" s="527"/>
      <c r="AA181" s="527"/>
      <c r="AE181" s="527"/>
      <c r="AJ181" s="527"/>
      <c r="AO181" s="529"/>
    </row>
    <row r="182" ht="15.75" customHeight="1">
      <c r="A182" s="505"/>
      <c r="B182" s="530"/>
      <c r="F182" s="531"/>
      <c r="I182" s="531"/>
      <c r="K182" s="531"/>
      <c r="N182" s="531"/>
      <c r="P182" s="531"/>
      <c r="X182" s="531"/>
      <c r="AA182" s="531"/>
      <c r="AE182" s="531"/>
      <c r="AJ182" s="531"/>
      <c r="AO182" s="533"/>
    </row>
    <row r="183" ht="15.75" customHeight="1">
      <c r="A183" s="505"/>
      <c r="B183" s="526"/>
      <c r="F183" s="527"/>
      <c r="I183" s="527"/>
      <c r="K183" s="527"/>
      <c r="N183" s="527"/>
      <c r="P183" s="527"/>
      <c r="X183" s="527"/>
      <c r="AA183" s="527"/>
      <c r="AE183" s="527"/>
      <c r="AJ183" s="527"/>
      <c r="AO183" s="529"/>
    </row>
    <row r="184" ht="15.75" customHeight="1">
      <c r="A184" s="505"/>
      <c r="B184" s="530"/>
      <c r="F184" s="531"/>
      <c r="I184" s="531"/>
      <c r="K184" s="531"/>
      <c r="N184" s="531"/>
      <c r="P184" s="531"/>
      <c r="X184" s="531"/>
      <c r="AA184" s="531"/>
      <c r="AE184" s="531"/>
      <c r="AJ184" s="531"/>
      <c r="AO184" s="533"/>
    </row>
    <row r="185" ht="15.75" customHeight="1">
      <c r="A185" s="505"/>
      <c r="B185" s="526"/>
      <c r="F185" s="527"/>
      <c r="I185" s="527"/>
      <c r="K185" s="527"/>
      <c r="N185" s="527"/>
      <c r="P185" s="527"/>
      <c r="X185" s="527"/>
      <c r="AA185" s="527"/>
      <c r="AE185" s="527"/>
      <c r="AJ185" s="527"/>
      <c r="AO185" s="529"/>
    </row>
    <row r="186" ht="15.75" customHeight="1">
      <c r="A186" s="505"/>
      <c r="B186" s="530"/>
      <c r="F186" s="531"/>
      <c r="I186" s="531"/>
      <c r="K186" s="531"/>
      <c r="N186" s="531"/>
      <c r="P186" s="531"/>
      <c r="X186" s="531"/>
      <c r="AA186" s="531"/>
      <c r="AE186" s="531"/>
      <c r="AJ186" s="531"/>
      <c r="AO186" s="533"/>
    </row>
    <row r="187" ht="15.75" customHeight="1">
      <c r="A187" s="505"/>
      <c r="B187" s="526"/>
      <c r="F187" s="527"/>
      <c r="I187" s="527"/>
      <c r="K187" s="527"/>
      <c r="N187" s="527"/>
      <c r="P187" s="527"/>
      <c r="X187" s="527"/>
      <c r="AA187" s="527"/>
      <c r="AE187" s="527"/>
      <c r="AJ187" s="527"/>
      <c r="AO187" s="529"/>
    </row>
    <row r="188" ht="15.75" customHeight="1">
      <c r="A188" s="505"/>
      <c r="B188" s="530"/>
      <c r="F188" s="531"/>
      <c r="I188" s="531"/>
      <c r="K188" s="531"/>
      <c r="N188" s="531"/>
      <c r="P188" s="531"/>
      <c r="X188" s="531"/>
      <c r="AA188" s="531"/>
      <c r="AE188" s="531"/>
      <c r="AJ188" s="531"/>
      <c r="AO188" s="533"/>
    </row>
    <row r="189" ht="15.75" customHeight="1">
      <c r="A189" s="505"/>
      <c r="B189" s="526"/>
      <c r="F189" s="527"/>
      <c r="I189" s="527"/>
      <c r="K189" s="527"/>
      <c r="N189" s="527"/>
      <c r="P189" s="527"/>
      <c r="X189" s="527"/>
      <c r="AA189" s="527"/>
      <c r="AE189" s="527"/>
      <c r="AJ189" s="527"/>
      <c r="AO189" s="529"/>
    </row>
    <row r="190" ht="15.75" customHeight="1">
      <c r="A190" s="505"/>
      <c r="B190" s="530"/>
      <c r="F190" s="531"/>
      <c r="I190" s="531"/>
      <c r="K190" s="531"/>
      <c r="N190" s="531"/>
      <c r="P190" s="531"/>
      <c r="X190" s="531"/>
      <c r="AA190" s="531"/>
      <c r="AE190" s="531"/>
      <c r="AJ190" s="531"/>
      <c r="AO190" s="533"/>
    </row>
    <row r="191" ht="15.75" customHeight="1">
      <c r="A191" s="505"/>
      <c r="B191" s="526"/>
      <c r="F191" s="527"/>
      <c r="I191" s="527"/>
      <c r="K191" s="527"/>
      <c r="N191" s="527"/>
      <c r="P191" s="527"/>
      <c r="X191" s="527"/>
      <c r="AA191" s="527"/>
      <c r="AE191" s="527"/>
      <c r="AJ191" s="527"/>
      <c r="AO191" s="529"/>
    </row>
    <row r="192" ht="15.75" customHeight="1">
      <c r="A192" s="505"/>
      <c r="B192" s="530"/>
      <c r="F192" s="531"/>
      <c r="I192" s="531"/>
      <c r="K192" s="531"/>
      <c r="N192" s="531"/>
      <c r="P192" s="531"/>
      <c r="X192" s="531"/>
      <c r="AA192" s="531"/>
      <c r="AE192" s="531"/>
      <c r="AJ192" s="531"/>
      <c r="AO192" s="533"/>
    </row>
    <row r="193" ht="15.75" customHeight="1">
      <c r="A193" s="505"/>
      <c r="B193" s="526"/>
      <c r="F193" s="527"/>
      <c r="I193" s="527"/>
      <c r="K193" s="527"/>
      <c r="N193" s="527"/>
      <c r="P193" s="527"/>
      <c r="X193" s="527"/>
      <c r="AA193" s="527"/>
      <c r="AE193" s="527"/>
      <c r="AJ193" s="527"/>
      <c r="AO193" s="529"/>
    </row>
    <row r="194" ht="15.75" customHeight="1">
      <c r="A194" s="505"/>
      <c r="B194" s="530"/>
      <c r="F194" s="531"/>
      <c r="I194" s="531"/>
      <c r="K194" s="531"/>
      <c r="N194" s="531"/>
      <c r="P194" s="531"/>
      <c r="X194" s="531"/>
      <c r="AA194" s="531"/>
      <c r="AE194" s="531"/>
      <c r="AJ194" s="531"/>
      <c r="AO194" s="533"/>
    </row>
    <row r="195" ht="15.75" customHeight="1">
      <c r="A195" s="505"/>
      <c r="B195" s="526"/>
      <c r="F195" s="527"/>
      <c r="I195" s="527"/>
      <c r="K195" s="527"/>
      <c r="N195" s="527"/>
      <c r="P195" s="527"/>
      <c r="X195" s="527"/>
      <c r="AA195" s="527"/>
      <c r="AE195" s="527"/>
      <c r="AJ195" s="527"/>
      <c r="AO195" s="529"/>
    </row>
    <row r="196" ht="15.75" customHeight="1">
      <c r="A196" s="505"/>
      <c r="B196" s="530"/>
      <c r="F196" s="531"/>
      <c r="I196" s="531"/>
      <c r="K196" s="531"/>
      <c r="N196" s="531"/>
      <c r="P196" s="531"/>
      <c r="X196" s="531"/>
      <c r="AA196" s="531"/>
      <c r="AE196" s="531"/>
      <c r="AJ196" s="531"/>
      <c r="AO196" s="533"/>
    </row>
    <row r="197" ht="15.75" customHeight="1">
      <c r="A197" s="505"/>
      <c r="B197" s="526"/>
      <c r="F197" s="527"/>
      <c r="I197" s="527"/>
      <c r="K197" s="527"/>
      <c r="N197" s="527"/>
      <c r="P197" s="527"/>
      <c r="X197" s="527"/>
      <c r="AA197" s="527"/>
      <c r="AE197" s="527"/>
      <c r="AJ197" s="527"/>
      <c r="AO197" s="529"/>
    </row>
    <row r="198" ht="15.75" customHeight="1">
      <c r="A198" s="505"/>
      <c r="B198" s="530"/>
      <c r="F198" s="531"/>
      <c r="I198" s="531"/>
      <c r="K198" s="531"/>
      <c r="N198" s="531"/>
      <c r="P198" s="531"/>
      <c r="X198" s="531"/>
      <c r="AA198" s="531"/>
      <c r="AE198" s="531"/>
      <c r="AJ198" s="531"/>
      <c r="AO198" s="533"/>
    </row>
    <row r="199" ht="15.75" customHeight="1">
      <c r="A199" s="505"/>
      <c r="B199" s="526"/>
      <c r="F199" s="527"/>
      <c r="I199" s="527"/>
      <c r="K199" s="527"/>
      <c r="N199" s="527"/>
      <c r="P199" s="527"/>
      <c r="X199" s="527"/>
      <c r="AA199" s="527"/>
      <c r="AE199" s="527"/>
      <c r="AJ199" s="527"/>
      <c r="AO199" s="529"/>
    </row>
    <row r="200" ht="15.75" customHeight="1">
      <c r="A200" s="505"/>
      <c r="B200" s="530"/>
      <c r="F200" s="531"/>
      <c r="I200" s="531"/>
      <c r="K200" s="531"/>
      <c r="N200" s="531"/>
      <c r="P200" s="531"/>
      <c r="X200" s="531"/>
      <c r="AA200" s="531"/>
      <c r="AE200" s="531"/>
      <c r="AJ200" s="531"/>
      <c r="AO200" s="533"/>
    </row>
    <row r="201" ht="15.75" customHeight="1">
      <c r="A201" s="505"/>
      <c r="B201" s="526"/>
      <c r="F201" s="527"/>
      <c r="I201" s="527"/>
      <c r="K201" s="527"/>
      <c r="N201" s="527"/>
      <c r="P201" s="527"/>
      <c r="X201" s="527"/>
      <c r="AA201" s="527"/>
      <c r="AE201" s="527"/>
      <c r="AJ201" s="527"/>
      <c r="AO201" s="529"/>
    </row>
  </sheetData>
  <mergeCells count="1969">
    <mergeCell ref="AA8:AD8"/>
    <mergeCell ref="AE8:AI8"/>
    <mergeCell ref="AJ8:AO8"/>
    <mergeCell ref="B8:E8"/>
    <mergeCell ref="F8:H8"/>
    <mergeCell ref="I8:J8"/>
    <mergeCell ref="K8:M8"/>
    <mergeCell ref="N8:O8"/>
    <mergeCell ref="P8:W8"/>
    <mergeCell ref="X8:Z8"/>
    <mergeCell ref="AA9:AD9"/>
    <mergeCell ref="AE9:AI9"/>
    <mergeCell ref="AJ9:AO9"/>
    <mergeCell ref="B9:E9"/>
    <mergeCell ref="F9:H9"/>
    <mergeCell ref="I9:J9"/>
    <mergeCell ref="K9:M9"/>
    <mergeCell ref="N9:O9"/>
    <mergeCell ref="P9:W9"/>
    <mergeCell ref="X9:Z9"/>
    <mergeCell ref="AA10:AD10"/>
    <mergeCell ref="AE10:AI10"/>
    <mergeCell ref="AJ10:AO10"/>
    <mergeCell ref="B10:E10"/>
    <mergeCell ref="F10:H10"/>
    <mergeCell ref="I10:J10"/>
    <mergeCell ref="K10:M10"/>
    <mergeCell ref="N10:O10"/>
    <mergeCell ref="P10:W10"/>
    <mergeCell ref="X10:Z10"/>
    <mergeCell ref="AA11:AD11"/>
    <mergeCell ref="AE11:AI11"/>
    <mergeCell ref="AJ11:AO11"/>
    <mergeCell ref="B11:E11"/>
    <mergeCell ref="F11:H11"/>
    <mergeCell ref="I11:J11"/>
    <mergeCell ref="K11:M11"/>
    <mergeCell ref="N11:O11"/>
    <mergeCell ref="P11:W11"/>
    <mergeCell ref="X11:Z11"/>
    <mergeCell ref="AA12:AD12"/>
    <mergeCell ref="AE12:AI12"/>
    <mergeCell ref="AJ12:AO12"/>
    <mergeCell ref="B12:E12"/>
    <mergeCell ref="F12:H12"/>
    <mergeCell ref="I12:J12"/>
    <mergeCell ref="K12:M12"/>
    <mergeCell ref="N12:O12"/>
    <mergeCell ref="P12:W12"/>
    <mergeCell ref="X12:Z12"/>
    <mergeCell ref="AA13:AD13"/>
    <mergeCell ref="AE13:AI13"/>
    <mergeCell ref="AJ13:AO13"/>
    <mergeCell ref="B13:E13"/>
    <mergeCell ref="F13:H13"/>
    <mergeCell ref="I13:J13"/>
    <mergeCell ref="K13:M13"/>
    <mergeCell ref="N13:O13"/>
    <mergeCell ref="P13:W13"/>
    <mergeCell ref="X13:Z13"/>
    <mergeCell ref="AA14:AD14"/>
    <mergeCell ref="AE14:AI14"/>
    <mergeCell ref="AJ14:AO14"/>
    <mergeCell ref="B14:E14"/>
    <mergeCell ref="F14:H14"/>
    <mergeCell ref="I14:J14"/>
    <mergeCell ref="K14:M14"/>
    <mergeCell ref="N14:O14"/>
    <mergeCell ref="P14:W14"/>
    <mergeCell ref="X14:Z14"/>
    <mergeCell ref="AA15:AD15"/>
    <mergeCell ref="AE15:AI15"/>
    <mergeCell ref="AJ15:AO15"/>
    <mergeCell ref="B15:E15"/>
    <mergeCell ref="F15:H15"/>
    <mergeCell ref="I15:J15"/>
    <mergeCell ref="K15:M15"/>
    <mergeCell ref="N15:O15"/>
    <mergeCell ref="P15:W15"/>
    <mergeCell ref="X15:Z15"/>
    <mergeCell ref="AA16:AD16"/>
    <mergeCell ref="AE16:AI16"/>
    <mergeCell ref="AJ16:AO16"/>
    <mergeCell ref="B16:E16"/>
    <mergeCell ref="F16:H16"/>
    <mergeCell ref="I16:J16"/>
    <mergeCell ref="K16:M16"/>
    <mergeCell ref="N16:O16"/>
    <mergeCell ref="P16:W16"/>
    <mergeCell ref="X16:Z16"/>
    <mergeCell ref="AA17:AD17"/>
    <mergeCell ref="AE17:AI17"/>
    <mergeCell ref="AJ17:AO17"/>
    <mergeCell ref="B17:E17"/>
    <mergeCell ref="F17:H17"/>
    <mergeCell ref="I17:J17"/>
    <mergeCell ref="K17:M17"/>
    <mergeCell ref="N17:O17"/>
    <mergeCell ref="P17:W17"/>
    <mergeCell ref="X17:Z17"/>
    <mergeCell ref="AA18:AD18"/>
    <mergeCell ref="AE18:AI18"/>
    <mergeCell ref="AJ18:AO18"/>
    <mergeCell ref="B18:E18"/>
    <mergeCell ref="F18:H18"/>
    <mergeCell ref="I18:J18"/>
    <mergeCell ref="K18:M18"/>
    <mergeCell ref="N18:O18"/>
    <mergeCell ref="P18:W18"/>
    <mergeCell ref="X18:Z18"/>
    <mergeCell ref="AA19:AD19"/>
    <mergeCell ref="AE19:AI19"/>
    <mergeCell ref="AJ19:AO19"/>
    <mergeCell ref="B19:E19"/>
    <mergeCell ref="F19:H19"/>
    <mergeCell ref="I19:J19"/>
    <mergeCell ref="K19:M19"/>
    <mergeCell ref="N19:O19"/>
    <mergeCell ref="P19:W19"/>
    <mergeCell ref="X19:Z19"/>
    <mergeCell ref="AA20:AD20"/>
    <mergeCell ref="AE20:AI20"/>
    <mergeCell ref="AJ20:AO20"/>
    <mergeCell ref="B20:E20"/>
    <mergeCell ref="F20:H20"/>
    <mergeCell ref="I20:J20"/>
    <mergeCell ref="K20:M20"/>
    <mergeCell ref="N20:O20"/>
    <mergeCell ref="P20:W20"/>
    <mergeCell ref="X20:Z20"/>
    <mergeCell ref="AA21:AD21"/>
    <mergeCell ref="AE21:AI21"/>
    <mergeCell ref="AJ21:AO21"/>
    <mergeCell ref="B21:E21"/>
    <mergeCell ref="F21:H21"/>
    <mergeCell ref="I21:J21"/>
    <mergeCell ref="K21:M21"/>
    <mergeCell ref="N21:O21"/>
    <mergeCell ref="P21:W21"/>
    <mergeCell ref="X21:Z21"/>
    <mergeCell ref="AA22:AD22"/>
    <mergeCell ref="AE22:AI22"/>
    <mergeCell ref="AJ22:AO22"/>
    <mergeCell ref="B22:E22"/>
    <mergeCell ref="F22:H22"/>
    <mergeCell ref="I22:J22"/>
    <mergeCell ref="K22:M22"/>
    <mergeCell ref="N22:O22"/>
    <mergeCell ref="P22:W22"/>
    <mergeCell ref="X22:Z22"/>
    <mergeCell ref="AA23:AD23"/>
    <mergeCell ref="AE23:AI23"/>
    <mergeCell ref="AJ23:AO23"/>
    <mergeCell ref="B23:E23"/>
    <mergeCell ref="F23:H23"/>
    <mergeCell ref="I23:J23"/>
    <mergeCell ref="K23:M23"/>
    <mergeCell ref="N23:O23"/>
    <mergeCell ref="P23:W23"/>
    <mergeCell ref="X23:Z23"/>
    <mergeCell ref="AA24:AD24"/>
    <mergeCell ref="AE24:AI24"/>
    <mergeCell ref="AJ24:AO24"/>
    <mergeCell ref="B24:E24"/>
    <mergeCell ref="F24:H24"/>
    <mergeCell ref="I24:J24"/>
    <mergeCell ref="K24:M24"/>
    <mergeCell ref="N24:O24"/>
    <mergeCell ref="P24:W24"/>
    <mergeCell ref="X24:Z24"/>
    <mergeCell ref="AA25:AD25"/>
    <mergeCell ref="AE25:AI25"/>
    <mergeCell ref="AJ25:AO25"/>
    <mergeCell ref="B25:E25"/>
    <mergeCell ref="F25:H25"/>
    <mergeCell ref="I25:J25"/>
    <mergeCell ref="K25:M25"/>
    <mergeCell ref="N25:O25"/>
    <mergeCell ref="P25:W25"/>
    <mergeCell ref="X25:Z25"/>
    <mergeCell ref="AA26:AD26"/>
    <mergeCell ref="AE26:AI26"/>
    <mergeCell ref="AJ26:AO26"/>
    <mergeCell ref="B26:E26"/>
    <mergeCell ref="F26:H26"/>
    <mergeCell ref="I26:J26"/>
    <mergeCell ref="K26:M26"/>
    <mergeCell ref="N26:O26"/>
    <mergeCell ref="P26:W26"/>
    <mergeCell ref="X26:Z26"/>
    <mergeCell ref="AA27:AD27"/>
    <mergeCell ref="AE27:AI27"/>
    <mergeCell ref="AJ27:AO27"/>
    <mergeCell ref="B27:E27"/>
    <mergeCell ref="F27:H27"/>
    <mergeCell ref="I27:J27"/>
    <mergeCell ref="K27:M27"/>
    <mergeCell ref="N27:O27"/>
    <mergeCell ref="P27:W27"/>
    <mergeCell ref="X27:Z27"/>
    <mergeCell ref="AA28:AD28"/>
    <mergeCell ref="AE28:AI28"/>
    <mergeCell ref="AJ28:AO28"/>
    <mergeCell ref="B28:E28"/>
    <mergeCell ref="F28:H28"/>
    <mergeCell ref="I28:J28"/>
    <mergeCell ref="K28:M28"/>
    <mergeCell ref="N28:O28"/>
    <mergeCell ref="P28:W28"/>
    <mergeCell ref="X28:Z28"/>
    <mergeCell ref="AA29:AD29"/>
    <mergeCell ref="AE29:AI29"/>
    <mergeCell ref="AJ29:AO29"/>
    <mergeCell ref="B29:E29"/>
    <mergeCell ref="F29:H29"/>
    <mergeCell ref="I29:J29"/>
    <mergeCell ref="K29:M29"/>
    <mergeCell ref="N29:O29"/>
    <mergeCell ref="P29:W29"/>
    <mergeCell ref="X29:Z29"/>
    <mergeCell ref="AA30:AD30"/>
    <mergeCell ref="AE30:AI30"/>
    <mergeCell ref="AJ30:AO30"/>
    <mergeCell ref="B30:E30"/>
    <mergeCell ref="F30:H30"/>
    <mergeCell ref="I30:J30"/>
    <mergeCell ref="K30:M30"/>
    <mergeCell ref="N30:O30"/>
    <mergeCell ref="P30:W30"/>
    <mergeCell ref="X30:Z30"/>
    <mergeCell ref="AA31:AD31"/>
    <mergeCell ref="AE31:AI31"/>
    <mergeCell ref="AJ31:AO31"/>
    <mergeCell ref="B31:E31"/>
    <mergeCell ref="F31:H31"/>
    <mergeCell ref="I31:J31"/>
    <mergeCell ref="K31:M31"/>
    <mergeCell ref="N31:O31"/>
    <mergeCell ref="P31:W31"/>
    <mergeCell ref="X31:Z31"/>
    <mergeCell ref="AA32:AD32"/>
    <mergeCell ref="AE32:AI32"/>
    <mergeCell ref="AJ32:AO32"/>
    <mergeCell ref="B32:E32"/>
    <mergeCell ref="F32:H32"/>
    <mergeCell ref="I32:J32"/>
    <mergeCell ref="K32:M32"/>
    <mergeCell ref="N32:O32"/>
    <mergeCell ref="P32:W32"/>
    <mergeCell ref="X32:Z32"/>
    <mergeCell ref="AA33:AD33"/>
    <mergeCell ref="AE33:AI33"/>
    <mergeCell ref="AJ33:AO33"/>
    <mergeCell ref="B33:E33"/>
    <mergeCell ref="F33:H33"/>
    <mergeCell ref="I33:J33"/>
    <mergeCell ref="K33:M33"/>
    <mergeCell ref="N33:O33"/>
    <mergeCell ref="P33:W33"/>
    <mergeCell ref="X33:Z33"/>
    <mergeCell ref="AA34:AD34"/>
    <mergeCell ref="AE34:AI34"/>
    <mergeCell ref="AJ34:AO34"/>
    <mergeCell ref="B34:E34"/>
    <mergeCell ref="F34:H34"/>
    <mergeCell ref="I34:J34"/>
    <mergeCell ref="K34:M34"/>
    <mergeCell ref="N34:O34"/>
    <mergeCell ref="P34:W34"/>
    <mergeCell ref="X34:Z34"/>
    <mergeCell ref="AA35:AD35"/>
    <mergeCell ref="AE35:AI35"/>
    <mergeCell ref="AJ35:AO35"/>
    <mergeCell ref="B35:E35"/>
    <mergeCell ref="F35:H35"/>
    <mergeCell ref="I35:J35"/>
    <mergeCell ref="K35:M35"/>
    <mergeCell ref="N35:O35"/>
    <mergeCell ref="P35:W35"/>
    <mergeCell ref="X35:Z35"/>
    <mergeCell ref="AA36:AD36"/>
    <mergeCell ref="AE36:AI36"/>
    <mergeCell ref="AJ36:AO36"/>
    <mergeCell ref="B36:E36"/>
    <mergeCell ref="F36:H36"/>
    <mergeCell ref="I36:J36"/>
    <mergeCell ref="K36:M36"/>
    <mergeCell ref="N36:O36"/>
    <mergeCell ref="P36:W36"/>
    <mergeCell ref="X36:Z36"/>
    <mergeCell ref="AA37:AD37"/>
    <mergeCell ref="AE37:AI37"/>
    <mergeCell ref="AJ37:AO37"/>
    <mergeCell ref="B37:E37"/>
    <mergeCell ref="F37:H37"/>
    <mergeCell ref="I37:J37"/>
    <mergeCell ref="K37:M37"/>
    <mergeCell ref="N37:O37"/>
    <mergeCell ref="P37:W37"/>
    <mergeCell ref="X37:Z37"/>
    <mergeCell ref="AA38:AD38"/>
    <mergeCell ref="AE38:AI38"/>
    <mergeCell ref="AJ38:AO38"/>
    <mergeCell ref="B38:E38"/>
    <mergeCell ref="F38:H38"/>
    <mergeCell ref="I38:J38"/>
    <mergeCell ref="K38:M38"/>
    <mergeCell ref="N38:O38"/>
    <mergeCell ref="P38:W38"/>
    <mergeCell ref="X38:Z38"/>
    <mergeCell ref="AA39:AD39"/>
    <mergeCell ref="AE39:AI39"/>
    <mergeCell ref="AJ39:AO39"/>
    <mergeCell ref="B39:E39"/>
    <mergeCell ref="F39:H39"/>
    <mergeCell ref="I39:J39"/>
    <mergeCell ref="K39:M39"/>
    <mergeCell ref="N39:O39"/>
    <mergeCell ref="P39:W39"/>
    <mergeCell ref="X39:Z39"/>
    <mergeCell ref="AA40:AD40"/>
    <mergeCell ref="AE40:AI40"/>
    <mergeCell ref="AJ40:AO40"/>
    <mergeCell ref="B40:E40"/>
    <mergeCell ref="F40:H40"/>
    <mergeCell ref="I40:J40"/>
    <mergeCell ref="K40:M40"/>
    <mergeCell ref="N40:O40"/>
    <mergeCell ref="P40:W40"/>
    <mergeCell ref="X40:Z40"/>
    <mergeCell ref="AA41:AD41"/>
    <mergeCell ref="AE41:AI41"/>
    <mergeCell ref="AJ41:AO41"/>
    <mergeCell ref="B41:E41"/>
    <mergeCell ref="F41:H41"/>
    <mergeCell ref="I41:J41"/>
    <mergeCell ref="K41:M41"/>
    <mergeCell ref="N41:O41"/>
    <mergeCell ref="P41:W41"/>
    <mergeCell ref="X41:Z41"/>
    <mergeCell ref="AA42:AD42"/>
    <mergeCell ref="AE42:AI42"/>
    <mergeCell ref="AJ42:AO42"/>
    <mergeCell ref="B42:E42"/>
    <mergeCell ref="F42:H42"/>
    <mergeCell ref="I42:J42"/>
    <mergeCell ref="K42:M42"/>
    <mergeCell ref="N42:O42"/>
    <mergeCell ref="P42:W42"/>
    <mergeCell ref="X42:Z42"/>
    <mergeCell ref="AA43:AD43"/>
    <mergeCell ref="AE43:AI43"/>
    <mergeCell ref="AJ43:AO43"/>
    <mergeCell ref="B43:E43"/>
    <mergeCell ref="F43:H43"/>
    <mergeCell ref="I43:J43"/>
    <mergeCell ref="K43:M43"/>
    <mergeCell ref="N43:O43"/>
    <mergeCell ref="P43:W43"/>
    <mergeCell ref="X43:Z43"/>
    <mergeCell ref="AA44:AD44"/>
    <mergeCell ref="AE44:AI44"/>
    <mergeCell ref="AJ44:AO44"/>
    <mergeCell ref="B44:E44"/>
    <mergeCell ref="F44:H44"/>
    <mergeCell ref="I44:J44"/>
    <mergeCell ref="K44:M44"/>
    <mergeCell ref="N44:O44"/>
    <mergeCell ref="P44:W44"/>
    <mergeCell ref="X44:Z44"/>
    <mergeCell ref="AA45:AD45"/>
    <mergeCell ref="AE45:AI45"/>
    <mergeCell ref="AJ45:AO45"/>
    <mergeCell ref="B45:E45"/>
    <mergeCell ref="F45:H45"/>
    <mergeCell ref="I45:J45"/>
    <mergeCell ref="K45:M45"/>
    <mergeCell ref="N45:O45"/>
    <mergeCell ref="P45:W45"/>
    <mergeCell ref="X45:Z45"/>
    <mergeCell ref="AA46:AD46"/>
    <mergeCell ref="AE46:AI46"/>
    <mergeCell ref="AJ46:AO46"/>
    <mergeCell ref="B46:E46"/>
    <mergeCell ref="F46:H46"/>
    <mergeCell ref="I46:J46"/>
    <mergeCell ref="K46:M46"/>
    <mergeCell ref="N46:O46"/>
    <mergeCell ref="P46:W46"/>
    <mergeCell ref="X46:Z46"/>
    <mergeCell ref="AA47:AD47"/>
    <mergeCell ref="AE47:AI47"/>
    <mergeCell ref="AJ47:AO47"/>
    <mergeCell ref="B47:E47"/>
    <mergeCell ref="F47:H47"/>
    <mergeCell ref="I47:J47"/>
    <mergeCell ref="K47:M47"/>
    <mergeCell ref="N47:O47"/>
    <mergeCell ref="P47:W47"/>
    <mergeCell ref="X47:Z47"/>
    <mergeCell ref="AA48:AD48"/>
    <mergeCell ref="AE48:AI48"/>
    <mergeCell ref="AJ48:AO48"/>
    <mergeCell ref="B48:E48"/>
    <mergeCell ref="F48:H48"/>
    <mergeCell ref="I48:J48"/>
    <mergeCell ref="K48:M48"/>
    <mergeCell ref="N48:O48"/>
    <mergeCell ref="P48:W48"/>
    <mergeCell ref="X48:Z48"/>
    <mergeCell ref="AA49:AD49"/>
    <mergeCell ref="AE49:AI49"/>
    <mergeCell ref="AJ49:AO49"/>
    <mergeCell ref="B49:E49"/>
    <mergeCell ref="F49:H49"/>
    <mergeCell ref="I49:J49"/>
    <mergeCell ref="K49:M49"/>
    <mergeCell ref="N49:O49"/>
    <mergeCell ref="P49:W49"/>
    <mergeCell ref="X49:Z49"/>
    <mergeCell ref="AA50:AD50"/>
    <mergeCell ref="AE50:AI50"/>
    <mergeCell ref="AJ50:AO50"/>
    <mergeCell ref="B50:E50"/>
    <mergeCell ref="F50:H50"/>
    <mergeCell ref="I50:J50"/>
    <mergeCell ref="K50:M50"/>
    <mergeCell ref="N50:O50"/>
    <mergeCell ref="P50:W50"/>
    <mergeCell ref="X50:Z50"/>
    <mergeCell ref="AA51:AD51"/>
    <mergeCell ref="AE51:AI51"/>
    <mergeCell ref="AJ51:AO51"/>
    <mergeCell ref="B51:E51"/>
    <mergeCell ref="F51:H51"/>
    <mergeCell ref="I51:J51"/>
    <mergeCell ref="K51:M51"/>
    <mergeCell ref="N51:O51"/>
    <mergeCell ref="P51:W51"/>
    <mergeCell ref="X51:Z51"/>
    <mergeCell ref="AA52:AD52"/>
    <mergeCell ref="AE52:AI52"/>
    <mergeCell ref="AJ52:AO52"/>
    <mergeCell ref="B52:E52"/>
    <mergeCell ref="F52:H52"/>
    <mergeCell ref="I52:J52"/>
    <mergeCell ref="K52:M52"/>
    <mergeCell ref="N52:O52"/>
    <mergeCell ref="P52:W52"/>
    <mergeCell ref="X52:Z52"/>
    <mergeCell ref="AA53:AD53"/>
    <mergeCell ref="AE53:AI53"/>
    <mergeCell ref="AJ53:AO53"/>
    <mergeCell ref="B53:E53"/>
    <mergeCell ref="F53:H53"/>
    <mergeCell ref="I53:J53"/>
    <mergeCell ref="K53:M53"/>
    <mergeCell ref="N53:O53"/>
    <mergeCell ref="P53:W53"/>
    <mergeCell ref="X53:Z53"/>
    <mergeCell ref="AA54:AD54"/>
    <mergeCell ref="AE54:AI54"/>
    <mergeCell ref="AJ54:AO54"/>
    <mergeCell ref="B54:E54"/>
    <mergeCell ref="F54:H54"/>
    <mergeCell ref="I54:J54"/>
    <mergeCell ref="K54:M54"/>
    <mergeCell ref="N54:O54"/>
    <mergeCell ref="P54:W54"/>
    <mergeCell ref="X54:Z54"/>
    <mergeCell ref="AA55:AD55"/>
    <mergeCell ref="AE55:AI55"/>
    <mergeCell ref="AJ55:AO55"/>
    <mergeCell ref="B55:E55"/>
    <mergeCell ref="F55:H55"/>
    <mergeCell ref="I55:J55"/>
    <mergeCell ref="K55:M55"/>
    <mergeCell ref="N55:O55"/>
    <mergeCell ref="P55:W55"/>
    <mergeCell ref="X55:Z55"/>
    <mergeCell ref="AA56:AD56"/>
    <mergeCell ref="AE56:AI56"/>
    <mergeCell ref="AJ56:AO56"/>
    <mergeCell ref="B56:E56"/>
    <mergeCell ref="F56:H56"/>
    <mergeCell ref="I56:J56"/>
    <mergeCell ref="K56:M56"/>
    <mergeCell ref="N56:O56"/>
    <mergeCell ref="P56:W56"/>
    <mergeCell ref="X56:Z56"/>
    <mergeCell ref="AA57:AD57"/>
    <mergeCell ref="AE57:AI57"/>
    <mergeCell ref="AJ57:AO57"/>
    <mergeCell ref="B57:E57"/>
    <mergeCell ref="F57:H57"/>
    <mergeCell ref="I57:J57"/>
    <mergeCell ref="K57:M57"/>
    <mergeCell ref="N57:O57"/>
    <mergeCell ref="P57:W57"/>
    <mergeCell ref="X57:Z57"/>
    <mergeCell ref="AA58:AD58"/>
    <mergeCell ref="AE58:AI58"/>
    <mergeCell ref="AJ58:AO58"/>
    <mergeCell ref="B58:E58"/>
    <mergeCell ref="F58:H58"/>
    <mergeCell ref="I58:J58"/>
    <mergeCell ref="K58:M58"/>
    <mergeCell ref="N58:O58"/>
    <mergeCell ref="P58:W58"/>
    <mergeCell ref="X58:Z58"/>
    <mergeCell ref="AA59:AD59"/>
    <mergeCell ref="AE59:AI59"/>
    <mergeCell ref="AJ59:AO59"/>
    <mergeCell ref="B59:E59"/>
    <mergeCell ref="F59:H59"/>
    <mergeCell ref="I59:J59"/>
    <mergeCell ref="K59:M59"/>
    <mergeCell ref="N59:O59"/>
    <mergeCell ref="P59:W59"/>
    <mergeCell ref="X59:Z59"/>
    <mergeCell ref="AA60:AD60"/>
    <mergeCell ref="AE60:AI60"/>
    <mergeCell ref="AJ60:AO60"/>
    <mergeCell ref="B60:E60"/>
    <mergeCell ref="F60:H60"/>
    <mergeCell ref="I60:J60"/>
    <mergeCell ref="K60:M60"/>
    <mergeCell ref="N60:O60"/>
    <mergeCell ref="P60:W60"/>
    <mergeCell ref="X60:Z60"/>
    <mergeCell ref="AA61:AD61"/>
    <mergeCell ref="AE61:AI61"/>
    <mergeCell ref="AJ61:AO61"/>
    <mergeCell ref="B61:E61"/>
    <mergeCell ref="F61:H61"/>
    <mergeCell ref="I61:J61"/>
    <mergeCell ref="K61:M61"/>
    <mergeCell ref="N61:O61"/>
    <mergeCell ref="P61:W61"/>
    <mergeCell ref="X61:Z61"/>
    <mergeCell ref="AA62:AD62"/>
    <mergeCell ref="AE62:AI62"/>
    <mergeCell ref="AJ62:AO62"/>
    <mergeCell ref="B62:E62"/>
    <mergeCell ref="F62:H62"/>
    <mergeCell ref="I62:J62"/>
    <mergeCell ref="K62:M62"/>
    <mergeCell ref="N62:O62"/>
    <mergeCell ref="P62:W62"/>
    <mergeCell ref="X62:Z62"/>
    <mergeCell ref="AA63:AD63"/>
    <mergeCell ref="AE63:AI63"/>
    <mergeCell ref="AJ63:AO63"/>
    <mergeCell ref="B63:E63"/>
    <mergeCell ref="F63:H63"/>
    <mergeCell ref="I63:J63"/>
    <mergeCell ref="K63:M63"/>
    <mergeCell ref="N63:O63"/>
    <mergeCell ref="P63:W63"/>
    <mergeCell ref="X63:Z63"/>
    <mergeCell ref="AA64:AD64"/>
    <mergeCell ref="AE64:AI64"/>
    <mergeCell ref="AJ64:AO64"/>
    <mergeCell ref="B64:E64"/>
    <mergeCell ref="F64:H64"/>
    <mergeCell ref="I64:J64"/>
    <mergeCell ref="K64:M64"/>
    <mergeCell ref="N64:O64"/>
    <mergeCell ref="P64:W64"/>
    <mergeCell ref="X64:Z64"/>
    <mergeCell ref="AA65:AD65"/>
    <mergeCell ref="AE65:AI65"/>
    <mergeCell ref="AJ65:AO65"/>
    <mergeCell ref="B65:E65"/>
    <mergeCell ref="F65:H65"/>
    <mergeCell ref="I65:J65"/>
    <mergeCell ref="K65:M65"/>
    <mergeCell ref="N65:O65"/>
    <mergeCell ref="P65:W65"/>
    <mergeCell ref="X65:Z65"/>
    <mergeCell ref="AA66:AD66"/>
    <mergeCell ref="AE66:AI66"/>
    <mergeCell ref="AJ66:AO66"/>
    <mergeCell ref="B66:E66"/>
    <mergeCell ref="F66:H66"/>
    <mergeCell ref="I66:J66"/>
    <mergeCell ref="K66:M66"/>
    <mergeCell ref="N66:O66"/>
    <mergeCell ref="P66:W66"/>
    <mergeCell ref="X66:Z66"/>
    <mergeCell ref="AA67:AD67"/>
    <mergeCell ref="AE67:AI67"/>
    <mergeCell ref="AJ67:AO67"/>
    <mergeCell ref="B67:E67"/>
    <mergeCell ref="F67:H67"/>
    <mergeCell ref="I67:J67"/>
    <mergeCell ref="K67:M67"/>
    <mergeCell ref="N67:O67"/>
    <mergeCell ref="P67:W67"/>
    <mergeCell ref="X67:Z67"/>
    <mergeCell ref="AA68:AD68"/>
    <mergeCell ref="AE68:AI68"/>
    <mergeCell ref="AJ68:AO68"/>
    <mergeCell ref="B68:E68"/>
    <mergeCell ref="F68:H68"/>
    <mergeCell ref="I68:J68"/>
    <mergeCell ref="K68:M68"/>
    <mergeCell ref="N68:O68"/>
    <mergeCell ref="P68:W68"/>
    <mergeCell ref="X68:Z68"/>
    <mergeCell ref="AA69:AD69"/>
    <mergeCell ref="AE69:AI69"/>
    <mergeCell ref="AJ69:AO69"/>
    <mergeCell ref="B69:E69"/>
    <mergeCell ref="F69:H69"/>
    <mergeCell ref="I69:J69"/>
    <mergeCell ref="K69:M69"/>
    <mergeCell ref="N69:O69"/>
    <mergeCell ref="P69:W69"/>
    <mergeCell ref="X69:Z69"/>
    <mergeCell ref="AA70:AD70"/>
    <mergeCell ref="AE70:AI70"/>
    <mergeCell ref="AJ70:AO70"/>
    <mergeCell ref="B70:E70"/>
    <mergeCell ref="F70:H70"/>
    <mergeCell ref="I70:J70"/>
    <mergeCell ref="K70:M70"/>
    <mergeCell ref="N70:O70"/>
    <mergeCell ref="P70:W70"/>
    <mergeCell ref="X70:Z70"/>
    <mergeCell ref="AA71:AD71"/>
    <mergeCell ref="AE71:AI71"/>
    <mergeCell ref="AJ71:AO71"/>
    <mergeCell ref="B71:E71"/>
    <mergeCell ref="F71:H71"/>
    <mergeCell ref="I71:J71"/>
    <mergeCell ref="K71:M71"/>
    <mergeCell ref="N71:O71"/>
    <mergeCell ref="P71:W71"/>
    <mergeCell ref="X71:Z71"/>
    <mergeCell ref="AA72:AD72"/>
    <mergeCell ref="AE72:AI72"/>
    <mergeCell ref="AJ72:AO72"/>
    <mergeCell ref="B72:E72"/>
    <mergeCell ref="F72:H72"/>
    <mergeCell ref="I72:J72"/>
    <mergeCell ref="K72:M72"/>
    <mergeCell ref="N72:O72"/>
    <mergeCell ref="P72:W72"/>
    <mergeCell ref="X72:Z72"/>
    <mergeCell ref="AA73:AD73"/>
    <mergeCell ref="AE73:AI73"/>
    <mergeCell ref="AJ73:AO73"/>
    <mergeCell ref="B73:E73"/>
    <mergeCell ref="F73:H73"/>
    <mergeCell ref="I73:J73"/>
    <mergeCell ref="K73:M73"/>
    <mergeCell ref="N73:O73"/>
    <mergeCell ref="P73:W73"/>
    <mergeCell ref="X73:Z73"/>
    <mergeCell ref="AA74:AD74"/>
    <mergeCell ref="AE74:AI74"/>
    <mergeCell ref="AJ74:AO74"/>
    <mergeCell ref="B74:E74"/>
    <mergeCell ref="F74:H74"/>
    <mergeCell ref="I74:J74"/>
    <mergeCell ref="K74:M74"/>
    <mergeCell ref="N74:O74"/>
    <mergeCell ref="P74:W74"/>
    <mergeCell ref="X74:Z74"/>
    <mergeCell ref="AA75:AD75"/>
    <mergeCell ref="AE75:AI75"/>
    <mergeCell ref="AJ75:AO75"/>
    <mergeCell ref="B75:E75"/>
    <mergeCell ref="F75:H75"/>
    <mergeCell ref="I75:J75"/>
    <mergeCell ref="K75:M75"/>
    <mergeCell ref="N75:O75"/>
    <mergeCell ref="P75:W75"/>
    <mergeCell ref="X75:Z75"/>
    <mergeCell ref="AA76:AD76"/>
    <mergeCell ref="AE76:AI76"/>
    <mergeCell ref="AJ76:AO76"/>
    <mergeCell ref="B76:E76"/>
    <mergeCell ref="F76:H76"/>
    <mergeCell ref="I76:J76"/>
    <mergeCell ref="K76:M76"/>
    <mergeCell ref="N76:O76"/>
    <mergeCell ref="P76:W76"/>
    <mergeCell ref="X76:Z76"/>
    <mergeCell ref="AA77:AD77"/>
    <mergeCell ref="AE77:AI77"/>
    <mergeCell ref="AJ77:AO77"/>
    <mergeCell ref="B77:E77"/>
    <mergeCell ref="F77:H77"/>
    <mergeCell ref="I77:J77"/>
    <mergeCell ref="K77:M77"/>
    <mergeCell ref="N77:O77"/>
    <mergeCell ref="P77:W77"/>
    <mergeCell ref="X77:Z77"/>
    <mergeCell ref="AA78:AD78"/>
    <mergeCell ref="AE78:AI78"/>
    <mergeCell ref="AJ78:AO78"/>
    <mergeCell ref="B78:E78"/>
    <mergeCell ref="F78:H78"/>
    <mergeCell ref="I78:J78"/>
    <mergeCell ref="K78:M78"/>
    <mergeCell ref="N78:O78"/>
    <mergeCell ref="P78:W78"/>
    <mergeCell ref="X78:Z78"/>
    <mergeCell ref="AA79:AD79"/>
    <mergeCell ref="AE79:AI79"/>
    <mergeCell ref="AJ79:AO79"/>
    <mergeCell ref="B79:E79"/>
    <mergeCell ref="F79:H79"/>
    <mergeCell ref="I79:J79"/>
    <mergeCell ref="K79:M79"/>
    <mergeCell ref="N79:O79"/>
    <mergeCell ref="P79:W79"/>
    <mergeCell ref="X79:Z79"/>
    <mergeCell ref="AA80:AD80"/>
    <mergeCell ref="AE80:AI80"/>
    <mergeCell ref="AJ80:AO80"/>
    <mergeCell ref="B80:E80"/>
    <mergeCell ref="F80:H80"/>
    <mergeCell ref="I80:J80"/>
    <mergeCell ref="K80:M80"/>
    <mergeCell ref="N80:O80"/>
    <mergeCell ref="P80:W80"/>
    <mergeCell ref="X80:Z80"/>
    <mergeCell ref="AA81:AD81"/>
    <mergeCell ref="AE81:AI81"/>
    <mergeCell ref="AJ81:AO81"/>
    <mergeCell ref="B81:E81"/>
    <mergeCell ref="F81:H81"/>
    <mergeCell ref="I81:J81"/>
    <mergeCell ref="K81:M81"/>
    <mergeCell ref="N81:O81"/>
    <mergeCell ref="P81:W81"/>
    <mergeCell ref="X81:Z81"/>
    <mergeCell ref="AA82:AD82"/>
    <mergeCell ref="AE82:AI82"/>
    <mergeCell ref="AJ82:AO82"/>
    <mergeCell ref="B82:E82"/>
    <mergeCell ref="F82:H82"/>
    <mergeCell ref="I82:J82"/>
    <mergeCell ref="K82:M82"/>
    <mergeCell ref="N82:O82"/>
    <mergeCell ref="P82:W82"/>
    <mergeCell ref="X82:Z82"/>
    <mergeCell ref="AA83:AD83"/>
    <mergeCell ref="AE83:AI83"/>
    <mergeCell ref="AJ83:AO83"/>
    <mergeCell ref="B83:E83"/>
    <mergeCell ref="F83:H83"/>
    <mergeCell ref="I83:J83"/>
    <mergeCell ref="K83:M83"/>
    <mergeCell ref="N83:O83"/>
    <mergeCell ref="P83:W83"/>
    <mergeCell ref="X83:Z83"/>
    <mergeCell ref="AA84:AD84"/>
    <mergeCell ref="AE84:AI84"/>
    <mergeCell ref="AJ84:AO84"/>
    <mergeCell ref="B84:E84"/>
    <mergeCell ref="F84:H84"/>
    <mergeCell ref="I84:J84"/>
    <mergeCell ref="K84:M84"/>
    <mergeCell ref="N84:O84"/>
    <mergeCell ref="P84:W84"/>
    <mergeCell ref="X84:Z84"/>
    <mergeCell ref="AA85:AD85"/>
    <mergeCell ref="AE85:AI85"/>
    <mergeCell ref="AJ85:AO85"/>
    <mergeCell ref="B85:E85"/>
    <mergeCell ref="F85:H85"/>
    <mergeCell ref="I85:J85"/>
    <mergeCell ref="K85:M85"/>
    <mergeCell ref="N85:O85"/>
    <mergeCell ref="P85:W85"/>
    <mergeCell ref="X85:Z85"/>
    <mergeCell ref="AA86:AD86"/>
    <mergeCell ref="AE86:AI86"/>
    <mergeCell ref="AJ86:AO86"/>
    <mergeCell ref="B86:E86"/>
    <mergeCell ref="F86:H86"/>
    <mergeCell ref="I86:J86"/>
    <mergeCell ref="K86:M86"/>
    <mergeCell ref="N86:O86"/>
    <mergeCell ref="P86:W86"/>
    <mergeCell ref="X86:Z86"/>
    <mergeCell ref="AA87:AD87"/>
    <mergeCell ref="AE87:AI87"/>
    <mergeCell ref="AJ87:AO87"/>
    <mergeCell ref="B87:E87"/>
    <mergeCell ref="F87:H87"/>
    <mergeCell ref="I87:J87"/>
    <mergeCell ref="K87:M87"/>
    <mergeCell ref="N87:O87"/>
    <mergeCell ref="P87:W87"/>
    <mergeCell ref="X87:Z87"/>
    <mergeCell ref="AA88:AD88"/>
    <mergeCell ref="AE88:AI88"/>
    <mergeCell ref="AJ88:AO88"/>
    <mergeCell ref="B88:E88"/>
    <mergeCell ref="F88:H88"/>
    <mergeCell ref="I88:J88"/>
    <mergeCell ref="K88:M88"/>
    <mergeCell ref="N88:O88"/>
    <mergeCell ref="P88:W88"/>
    <mergeCell ref="X88:Z88"/>
    <mergeCell ref="AA89:AD89"/>
    <mergeCell ref="AE89:AI89"/>
    <mergeCell ref="AJ89:AO89"/>
    <mergeCell ref="B89:E89"/>
    <mergeCell ref="F89:H89"/>
    <mergeCell ref="I89:J89"/>
    <mergeCell ref="K89:M89"/>
    <mergeCell ref="N89:O89"/>
    <mergeCell ref="P89:W89"/>
    <mergeCell ref="X89:Z89"/>
    <mergeCell ref="AA90:AD90"/>
    <mergeCell ref="AE90:AI90"/>
    <mergeCell ref="AJ90:AO90"/>
    <mergeCell ref="B90:E90"/>
    <mergeCell ref="F90:H90"/>
    <mergeCell ref="I90:J90"/>
    <mergeCell ref="K90:M90"/>
    <mergeCell ref="N90:O90"/>
    <mergeCell ref="P90:W90"/>
    <mergeCell ref="X90:Z90"/>
    <mergeCell ref="AA91:AD91"/>
    <mergeCell ref="AE91:AI91"/>
    <mergeCell ref="AJ91:AO91"/>
    <mergeCell ref="B91:E91"/>
    <mergeCell ref="F91:H91"/>
    <mergeCell ref="I91:J91"/>
    <mergeCell ref="K91:M91"/>
    <mergeCell ref="N91:O91"/>
    <mergeCell ref="P91:W91"/>
    <mergeCell ref="X91:Z91"/>
    <mergeCell ref="AA92:AD92"/>
    <mergeCell ref="AE92:AI92"/>
    <mergeCell ref="AJ92:AO92"/>
    <mergeCell ref="B92:E92"/>
    <mergeCell ref="F92:H92"/>
    <mergeCell ref="I92:J92"/>
    <mergeCell ref="K92:M92"/>
    <mergeCell ref="N92:O92"/>
    <mergeCell ref="P92:W92"/>
    <mergeCell ref="X92:Z92"/>
    <mergeCell ref="AA93:AD93"/>
    <mergeCell ref="AE93:AI93"/>
    <mergeCell ref="AJ93:AO93"/>
    <mergeCell ref="B93:E93"/>
    <mergeCell ref="F93:H93"/>
    <mergeCell ref="I93:J93"/>
    <mergeCell ref="K93:M93"/>
    <mergeCell ref="N93:O93"/>
    <mergeCell ref="P93:W93"/>
    <mergeCell ref="X93:Z93"/>
    <mergeCell ref="AA94:AD94"/>
    <mergeCell ref="AE94:AI94"/>
    <mergeCell ref="AJ94:AO94"/>
    <mergeCell ref="B94:E94"/>
    <mergeCell ref="F94:H94"/>
    <mergeCell ref="I94:J94"/>
    <mergeCell ref="K94:M94"/>
    <mergeCell ref="N94:O94"/>
    <mergeCell ref="P94:W94"/>
    <mergeCell ref="X94:Z94"/>
    <mergeCell ref="AA95:AD95"/>
    <mergeCell ref="AE95:AI95"/>
    <mergeCell ref="AJ95:AO95"/>
    <mergeCell ref="B95:E95"/>
    <mergeCell ref="F95:H95"/>
    <mergeCell ref="I95:J95"/>
    <mergeCell ref="K95:M95"/>
    <mergeCell ref="N95:O95"/>
    <mergeCell ref="P95:W95"/>
    <mergeCell ref="X95:Z95"/>
    <mergeCell ref="AA96:AD96"/>
    <mergeCell ref="AE96:AI96"/>
    <mergeCell ref="AJ96:AO96"/>
    <mergeCell ref="B96:E96"/>
    <mergeCell ref="F96:H96"/>
    <mergeCell ref="I96:J96"/>
    <mergeCell ref="K96:M96"/>
    <mergeCell ref="N96:O96"/>
    <mergeCell ref="P96:W96"/>
    <mergeCell ref="X96:Z96"/>
    <mergeCell ref="AA97:AD97"/>
    <mergeCell ref="AE97:AI97"/>
    <mergeCell ref="AJ97:AO97"/>
    <mergeCell ref="B97:E97"/>
    <mergeCell ref="F97:H97"/>
    <mergeCell ref="I97:J97"/>
    <mergeCell ref="K97:M97"/>
    <mergeCell ref="N97:O97"/>
    <mergeCell ref="P97:W97"/>
    <mergeCell ref="X97:Z97"/>
    <mergeCell ref="AA98:AD98"/>
    <mergeCell ref="AE98:AI98"/>
    <mergeCell ref="AJ98:AO98"/>
    <mergeCell ref="B98:E98"/>
    <mergeCell ref="F98:H98"/>
    <mergeCell ref="I98:J98"/>
    <mergeCell ref="K98:M98"/>
    <mergeCell ref="N98:O98"/>
    <mergeCell ref="P98:W98"/>
    <mergeCell ref="X98:Z98"/>
    <mergeCell ref="AA99:AD99"/>
    <mergeCell ref="AE99:AI99"/>
    <mergeCell ref="AJ99:AO99"/>
    <mergeCell ref="B99:E99"/>
    <mergeCell ref="F99:H99"/>
    <mergeCell ref="I99:J99"/>
    <mergeCell ref="K99:M99"/>
    <mergeCell ref="N99:O99"/>
    <mergeCell ref="P99:W99"/>
    <mergeCell ref="X99:Z99"/>
    <mergeCell ref="AA100:AD100"/>
    <mergeCell ref="AE100:AI100"/>
    <mergeCell ref="AJ100:AO100"/>
    <mergeCell ref="B100:E100"/>
    <mergeCell ref="F100:H100"/>
    <mergeCell ref="I100:J100"/>
    <mergeCell ref="K100:M100"/>
    <mergeCell ref="N100:O100"/>
    <mergeCell ref="P100:W100"/>
    <mergeCell ref="X100:Z100"/>
    <mergeCell ref="AA101:AD101"/>
    <mergeCell ref="AE101:AI101"/>
    <mergeCell ref="AJ101:AO101"/>
    <mergeCell ref="B101:E101"/>
    <mergeCell ref="F101:H101"/>
    <mergeCell ref="I101:J101"/>
    <mergeCell ref="K101:M101"/>
    <mergeCell ref="N101:O101"/>
    <mergeCell ref="P101:W101"/>
    <mergeCell ref="X101:Z101"/>
    <mergeCell ref="AA102:AD102"/>
    <mergeCell ref="AE102:AI102"/>
    <mergeCell ref="AJ102:AO102"/>
    <mergeCell ref="B102:E102"/>
    <mergeCell ref="F102:H102"/>
    <mergeCell ref="I102:J102"/>
    <mergeCell ref="K102:M102"/>
    <mergeCell ref="N102:O102"/>
    <mergeCell ref="P102:W102"/>
    <mergeCell ref="X102:Z102"/>
    <mergeCell ref="AA103:AD103"/>
    <mergeCell ref="AE103:AI103"/>
    <mergeCell ref="AJ103:AO103"/>
    <mergeCell ref="B103:E103"/>
    <mergeCell ref="F103:H103"/>
    <mergeCell ref="I103:J103"/>
    <mergeCell ref="K103:M103"/>
    <mergeCell ref="N103:O103"/>
    <mergeCell ref="P103:W103"/>
    <mergeCell ref="X103:Z103"/>
    <mergeCell ref="AA104:AD104"/>
    <mergeCell ref="AE104:AI104"/>
    <mergeCell ref="AJ104:AO104"/>
    <mergeCell ref="B104:E104"/>
    <mergeCell ref="F104:H104"/>
    <mergeCell ref="I104:J104"/>
    <mergeCell ref="K104:M104"/>
    <mergeCell ref="N104:O104"/>
    <mergeCell ref="P104:W104"/>
    <mergeCell ref="X104:Z104"/>
    <mergeCell ref="AA105:AD105"/>
    <mergeCell ref="AE105:AI105"/>
    <mergeCell ref="AJ105:AO105"/>
    <mergeCell ref="B105:E105"/>
    <mergeCell ref="F105:H105"/>
    <mergeCell ref="I105:J105"/>
    <mergeCell ref="K105:M105"/>
    <mergeCell ref="N105:O105"/>
    <mergeCell ref="P105:W105"/>
    <mergeCell ref="X105:Z105"/>
    <mergeCell ref="AA155:AD155"/>
    <mergeCell ref="AE155:AI155"/>
    <mergeCell ref="AJ155:AO155"/>
    <mergeCell ref="B155:E155"/>
    <mergeCell ref="F155:H155"/>
    <mergeCell ref="I155:J155"/>
    <mergeCell ref="K155:M155"/>
    <mergeCell ref="N155:O155"/>
    <mergeCell ref="P155:W155"/>
    <mergeCell ref="X155:Z155"/>
    <mergeCell ref="AA156:AD156"/>
    <mergeCell ref="AE156:AI156"/>
    <mergeCell ref="AJ156:AO156"/>
    <mergeCell ref="B156:E156"/>
    <mergeCell ref="F156:H156"/>
    <mergeCell ref="I156:J156"/>
    <mergeCell ref="K156:M156"/>
    <mergeCell ref="N156:O156"/>
    <mergeCell ref="P156:W156"/>
    <mergeCell ref="X156:Z156"/>
    <mergeCell ref="AA157:AD157"/>
    <mergeCell ref="AE157:AI157"/>
    <mergeCell ref="AJ157:AO157"/>
    <mergeCell ref="B157:E157"/>
    <mergeCell ref="F157:H157"/>
    <mergeCell ref="I157:J157"/>
    <mergeCell ref="K157:M157"/>
    <mergeCell ref="N157:O157"/>
    <mergeCell ref="P157:W157"/>
    <mergeCell ref="X157:Z157"/>
    <mergeCell ref="AA158:AD158"/>
    <mergeCell ref="AE158:AI158"/>
    <mergeCell ref="AJ158:AO158"/>
    <mergeCell ref="B158:E158"/>
    <mergeCell ref="F158:H158"/>
    <mergeCell ref="I158:J158"/>
    <mergeCell ref="K158:M158"/>
    <mergeCell ref="N158:O158"/>
    <mergeCell ref="P158:W158"/>
    <mergeCell ref="X158:Z158"/>
    <mergeCell ref="AA159:AD159"/>
    <mergeCell ref="AE159:AI159"/>
    <mergeCell ref="AJ159:AO159"/>
    <mergeCell ref="B159:E159"/>
    <mergeCell ref="F159:H159"/>
    <mergeCell ref="I159:J159"/>
    <mergeCell ref="K159:M159"/>
    <mergeCell ref="N159:O159"/>
    <mergeCell ref="P159:W159"/>
    <mergeCell ref="X159:Z159"/>
    <mergeCell ref="AA160:AD160"/>
    <mergeCell ref="AE160:AI160"/>
    <mergeCell ref="AJ160:AO160"/>
    <mergeCell ref="B160:E160"/>
    <mergeCell ref="F160:H160"/>
    <mergeCell ref="I160:J160"/>
    <mergeCell ref="K160:M160"/>
    <mergeCell ref="N160:O160"/>
    <mergeCell ref="P160:W160"/>
    <mergeCell ref="X160:Z160"/>
    <mergeCell ref="AA161:AD161"/>
    <mergeCell ref="AE161:AI161"/>
    <mergeCell ref="AJ161:AO161"/>
    <mergeCell ref="B161:E161"/>
    <mergeCell ref="F161:H161"/>
    <mergeCell ref="I161:J161"/>
    <mergeCell ref="K161:M161"/>
    <mergeCell ref="N161:O161"/>
    <mergeCell ref="P161:W161"/>
    <mergeCell ref="X161:Z161"/>
    <mergeCell ref="AA162:AD162"/>
    <mergeCell ref="AE162:AI162"/>
    <mergeCell ref="AJ162:AO162"/>
    <mergeCell ref="B162:E162"/>
    <mergeCell ref="F162:H162"/>
    <mergeCell ref="I162:J162"/>
    <mergeCell ref="K162:M162"/>
    <mergeCell ref="N162:O162"/>
    <mergeCell ref="P162:W162"/>
    <mergeCell ref="X162:Z162"/>
    <mergeCell ref="AA163:AD163"/>
    <mergeCell ref="AE163:AI163"/>
    <mergeCell ref="AJ163:AO163"/>
    <mergeCell ref="B163:E163"/>
    <mergeCell ref="F163:H163"/>
    <mergeCell ref="I163:J163"/>
    <mergeCell ref="K163:M163"/>
    <mergeCell ref="N163:O163"/>
    <mergeCell ref="P163:W163"/>
    <mergeCell ref="X163:Z163"/>
    <mergeCell ref="AA164:AD164"/>
    <mergeCell ref="AE164:AI164"/>
    <mergeCell ref="AJ164:AO164"/>
    <mergeCell ref="B164:E164"/>
    <mergeCell ref="F164:H164"/>
    <mergeCell ref="I164:J164"/>
    <mergeCell ref="K164:M164"/>
    <mergeCell ref="N164:O164"/>
    <mergeCell ref="P164:W164"/>
    <mergeCell ref="X164:Z164"/>
    <mergeCell ref="AA165:AD165"/>
    <mergeCell ref="AE165:AI165"/>
    <mergeCell ref="AJ165:AO165"/>
    <mergeCell ref="B165:E165"/>
    <mergeCell ref="F165:H165"/>
    <mergeCell ref="I165:J165"/>
    <mergeCell ref="K165:M165"/>
    <mergeCell ref="N165:O165"/>
    <mergeCell ref="P165:W165"/>
    <mergeCell ref="X165:Z165"/>
    <mergeCell ref="AA166:AD166"/>
    <mergeCell ref="AE166:AI166"/>
    <mergeCell ref="AJ166:AO166"/>
    <mergeCell ref="B166:E166"/>
    <mergeCell ref="F166:H166"/>
    <mergeCell ref="I166:J166"/>
    <mergeCell ref="K166:M166"/>
    <mergeCell ref="N166:O166"/>
    <mergeCell ref="P166:W166"/>
    <mergeCell ref="X166:Z166"/>
    <mergeCell ref="AA167:AD167"/>
    <mergeCell ref="AE167:AI167"/>
    <mergeCell ref="AJ167:AO167"/>
    <mergeCell ref="B167:E167"/>
    <mergeCell ref="F167:H167"/>
    <mergeCell ref="I167:J167"/>
    <mergeCell ref="K167:M167"/>
    <mergeCell ref="N167:O167"/>
    <mergeCell ref="P167:W167"/>
    <mergeCell ref="X167:Z167"/>
    <mergeCell ref="AA168:AD168"/>
    <mergeCell ref="AE168:AI168"/>
    <mergeCell ref="AJ168:AO168"/>
    <mergeCell ref="B168:E168"/>
    <mergeCell ref="F168:H168"/>
    <mergeCell ref="I168:J168"/>
    <mergeCell ref="K168:M168"/>
    <mergeCell ref="N168:O168"/>
    <mergeCell ref="P168:W168"/>
    <mergeCell ref="X168:Z168"/>
    <mergeCell ref="AA169:AD169"/>
    <mergeCell ref="AE169:AI169"/>
    <mergeCell ref="AJ169:AO169"/>
    <mergeCell ref="B169:E169"/>
    <mergeCell ref="F169:H169"/>
    <mergeCell ref="I169:J169"/>
    <mergeCell ref="K169:M169"/>
    <mergeCell ref="N169:O169"/>
    <mergeCell ref="P169:W169"/>
    <mergeCell ref="X169:Z169"/>
    <mergeCell ref="AA170:AD170"/>
    <mergeCell ref="AE170:AI170"/>
    <mergeCell ref="AJ170:AO170"/>
    <mergeCell ref="B170:E170"/>
    <mergeCell ref="F170:H170"/>
    <mergeCell ref="I170:J170"/>
    <mergeCell ref="K170:M170"/>
    <mergeCell ref="N170:O170"/>
    <mergeCell ref="P170:W170"/>
    <mergeCell ref="X170:Z170"/>
    <mergeCell ref="AA171:AD171"/>
    <mergeCell ref="AE171:AI171"/>
    <mergeCell ref="AJ171:AO171"/>
    <mergeCell ref="B171:E171"/>
    <mergeCell ref="F171:H171"/>
    <mergeCell ref="I171:J171"/>
    <mergeCell ref="K171:M171"/>
    <mergeCell ref="N171:O171"/>
    <mergeCell ref="P171:W171"/>
    <mergeCell ref="X171:Z171"/>
    <mergeCell ref="AA172:AD172"/>
    <mergeCell ref="AE172:AI172"/>
    <mergeCell ref="AJ172:AO172"/>
    <mergeCell ref="B172:E172"/>
    <mergeCell ref="F172:H172"/>
    <mergeCell ref="I172:J172"/>
    <mergeCell ref="K172:M172"/>
    <mergeCell ref="N172:O172"/>
    <mergeCell ref="P172:W172"/>
    <mergeCell ref="X172:Z172"/>
    <mergeCell ref="AA173:AD173"/>
    <mergeCell ref="AE173:AI173"/>
    <mergeCell ref="AJ173:AO173"/>
    <mergeCell ref="B173:E173"/>
    <mergeCell ref="F173:H173"/>
    <mergeCell ref="I173:J173"/>
    <mergeCell ref="K173:M173"/>
    <mergeCell ref="N173:O173"/>
    <mergeCell ref="P173:W173"/>
    <mergeCell ref="X173:Z173"/>
    <mergeCell ref="AA174:AD174"/>
    <mergeCell ref="AE174:AI174"/>
    <mergeCell ref="AJ174:AO174"/>
    <mergeCell ref="B174:E174"/>
    <mergeCell ref="F174:H174"/>
    <mergeCell ref="I174:J174"/>
    <mergeCell ref="K174:M174"/>
    <mergeCell ref="N174:O174"/>
    <mergeCell ref="P174:W174"/>
    <mergeCell ref="X174:Z174"/>
    <mergeCell ref="AA175:AD175"/>
    <mergeCell ref="AE175:AI175"/>
    <mergeCell ref="AJ175:AO175"/>
    <mergeCell ref="B175:E175"/>
    <mergeCell ref="F175:H175"/>
    <mergeCell ref="I175:J175"/>
    <mergeCell ref="K175:M175"/>
    <mergeCell ref="N175:O175"/>
    <mergeCell ref="P175:W175"/>
    <mergeCell ref="X175:Z175"/>
    <mergeCell ref="AA176:AD176"/>
    <mergeCell ref="AE176:AI176"/>
    <mergeCell ref="AJ176:AO176"/>
    <mergeCell ref="B176:E176"/>
    <mergeCell ref="F176:H176"/>
    <mergeCell ref="I176:J176"/>
    <mergeCell ref="K176:M176"/>
    <mergeCell ref="N176:O176"/>
    <mergeCell ref="P176:W176"/>
    <mergeCell ref="X176:Z176"/>
    <mergeCell ref="AA177:AD177"/>
    <mergeCell ref="AE177:AI177"/>
    <mergeCell ref="AJ177:AO177"/>
    <mergeCell ref="B177:E177"/>
    <mergeCell ref="F177:H177"/>
    <mergeCell ref="I177:J177"/>
    <mergeCell ref="K177:M177"/>
    <mergeCell ref="N177:O177"/>
    <mergeCell ref="P177:W177"/>
    <mergeCell ref="X177:Z177"/>
    <mergeCell ref="AA178:AD178"/>
    <mergeCell ref="AE178:AI178"/>
    <mergeCell ref="AJ178:AO178"/>
    <mergeCell ref="B178:E178"/>
    <mergeCell ref="F178:H178"/>
    <mergeCell ref="I178:J178"/>
    <mergeCell ref="K178:M178"/>
    <mergeCell ref="N178:O178"/>
    <mergeCell ref="P178:W178"/>
    <mergeCell ref="X178:Z178"/>
    <mergeCell ref="AA179:AD179"/>
    <mergeCell ref="AE179:AI179"/>
    <mergeCell ref="AJ179:AO179"/>
    <mergeCell ref="B179:E179"/>
    <mergeCell ref="F179:H179"/>
    <mergeCell ref="I179:J179"/>
    <mergeCell ref="K179:M179"/>
    <mergeCell ref="N179:O179"/>
    <mergeCell ref="P179:W179"/>
    <mergeCell ref="X179:Z179"/>
    <mergeCell ref="AA180:AD180"/>
    <mergeCell ref="AE180:AI180"/>
    <mergeCell ref="AJ180:AO180"/>
    <mergeCell ref="B180:E180"/>
    <mergeCell ref="F180:H180"/>
    <mergeCell ref="I180:J180"/>
    <mergeCell ref="K180:M180"/>
    <mergeCell ref="N180:O180"/>
    <mergeCell ref="P180:W180"/>
    <mergeCell ref="X180:Z180"/>
    <mergeCell ref="AA181:AD181"/>
    <mergeCell ref="AE181:AI181"/>
    <mergeCell ref="AJ181:AO181"/>
    <mergeCell ref="B181:E181"/>
    <mergeCell ref="F181:H181"/>
    <mergeCell ref="I181:J181"/>
    <mergeCell ref="K181:M181"/>
    <mergeCell ref="N181:O181"/>
    <mergeCell ref="P181:W181"/>
    <mergeCell ref="X181:Z181"/>
    <mergeCell ref="AA182:AD182"/>
    <mergeCell ref="AE182:AI182"/>
    <mergeCell ref="AJ182:AO182"/>
    <mergeCell ref="B182:E182"/>
    <mergeCell ref="F182:H182"/>
    <mergeCell ref="I182:J182"/>
    <mergeCell ref="K182:M182"/>
    <mergeCell ref="N182:O182"/>
    <mergeCell ref="P182:W182"/>
    <mergeCell ref="X182:Z182"/>
    <mergeCell ref="AA183:AD183"/>
    <mergeCell ref="AE183:AI183"/>
    <mergeCell ref="AJ183:AO183"/>
    <mergeCell ref="B183:E183"/>
    <mergeCell ref="F183:H183"/>
    <mergeCell ref="I183:J183"/>
    <mergeCell ref="K183:M183"/>
    <mergeCell ref="N183:O183"/>
    <mergeCell ref="P183:W183"/>
    <mergeCell ref="X183:Z183"/>
    <mergeCell ref="AA184:AD184"/>
    <mergeCell ref="AE184:AI184"/>
    <mergeCell ref="AJ184:AO184"/>
    <mergeCell ref="B184:E184"/>
    <mergeCell ref="F184:H184"/>
    <mergeCell ref="I184:J184"/>
    <mergeCell ref="K184:M184"/>
    <mergeCell ref="N184:O184"/>
    <mergeCell ref="P184:W184"/>
    <mergeCell ref="X184:Z184"/>
    <mergeCell ref="AA185:AD185"/>
    <mergeCell ref="AE185:AI185"/>
    <mergeCell ref="AJ185:AO185"/>
    <mergeCell ref="B185:E185"/>
    <mergeCell ref="F185:H185"/>
    <mergeCell ref="I185:J185"/>
    <mergeCell ref="K185:M185"/>
    <mergeCell ref="N185:O185"/>
    <mergeCell ref="P185:W185"/>
    <mergeCell ref="X185:Z185"/>
    <mergeCell ref="AA186:AD186"/>
    <mergeCell ref="AE186:AI186"/>
    <mergeCell ref="AJ186:AO186"/>
    <mergeCell ref="B186:E186"/>
    <mergeCell ref="F186:H186"/>
    <mergeCell ref="I186:J186"/>
    <mergeCell ref="K186:M186"/>
    <mergeCell ref="N186:O186"/>
    <mergeCell ref="P186:W186"/>
    <mergeCell ref="X186:Z186"/>
    <mergeCell ref="AA187:AD187"/>
    <mergeCell ref="AE187:AI187"/>
    <mergeCell ref="AJ187:AO187"/>
    <mergeCell ref="B187:E187"/>
    <mergeCell ref="F187:H187"/>
    <mergeCell ref="I187:J187"/>
    <mergeCell ref="K187:M187"/>
    <mergeCell ref="N187:O187"/>
    <mergeCell ref="P187:W187"/>
    <mergeCell ref="X187:Z187"/>
    <mergeCell ref="AA188:AD188"/>
    <mergeCell ref="AE188:AI188"/>
    <mergeCell ref="AJ188:AO188"/>
    <mergeCell ref="B188:E188"/>
    <mergeCell ref="F188:H188"/>
    <mergeCell ref="I188:J188"/>
    <mergeCell ref="K188:M188"/>
    <mergeCell ref="N188:O188"/>
    <mergeCell ref="P188:W188"/>
    <mergeCell ref="X188:Z188"/>
    <mergeCell ref="AA189:AD189"/>
    <mergeCell ref="AE189:AI189"/>
    <mergeCell ref="AJ189:AO189"/>
    <mergeCell ref="B189:E189"/>
    <mergeCell ref="F189:H189"/>
    <mergeCell ref="I189:J189"/>
    <mergeCell ref="K189:M189"/>
    <mergeCell ref="N189:O189"/>
    <mergeCell ref="P189:W189"/>
    <mergeCell ref="X189:Z189"/>
    <mergeCell ref="AA197:AD197"/>
    <mergeCell ref="AE197:AI197"/>
    <mergeCell ref="AJ197:AO197"/>
    <mergeCell ref="B197:E197"/>
    <mergeCell ref="F197:H197"/>
    <mergeCell ref="I197:J197"/>
    <mergeCell ref="K197:M197"/>
    <mergeCell ref="N197:O197"/>
    <mergeCell ref="P197:W197"/>
    <mergeCell ref="X197:Z197"/>
    <mergeCell ref="AA198:AD198"/>
    <mergeCell ref="AE198:AI198"/>
    <mergeCell ref="AJ198:AO198"/>
    <mergeCell ref="B198:E198"/>
    <mergeCell ref="F198:H198"/>
    <mergeCell ref="I198:J198"/>
    <mergeCell ref="K198:M198"/>
    <mergeCell ref="N198:O198"/>
    <mergeCell ref="P198:W198"/>
    <mergeCell ref="X198:Z198"/>
    <mergeCell ref="AA199:AD199"/>
    <mergeCell ref="AE199:AI199"/>
    <mergeCell ref="AJ199:AO199"/>
    <mergeCell ref="B199:E199"/>
    <mergeCell ref="F199:H199"/>
    <mergeCell ref="I199:J199"/>
    <mergeCell ref="K199:M199"/>
    <mergeCell ref="N199:O199"/>
    <mergeCell ref="P199:W199"/>
    <mergeCell ref="X199:Z199"/>
    <mergeCell ref="AA200:AD200"/>
    <mergeCell ref="AE200:AI200"/>
    <mergeCell ref="AJ200:AO200"/>
    <mergeCell ref="B200:E200"/>
    <mergeCell ref="F200:H200"/>
    <mergeCell ref="I200:J200"/>
    <mergeCell ref="K200:M200"/>
    <mergeCell ref="N200:O200"/>
    <mergeCell ref="P200:W200"/>
    <mergeCell ref="X200:Z200"/>
    <mergeCell ref="P2:AA3"/>
    <mergeCell ref="P4:AA4"/>
    <mergeCell ref="O1:O4"/>
    <mergeCell ref="P1:AA1"/>
    <mergeCell ref="AB1:AB4"/>
    <mergeCell ref="B2:N2"/>
    <mergeCell ref="AC2:AO2"/>
    <mergeCell ref="B3:N4"/>
    <mergeCell ref="AC3:AO4"/>
    <mergeCell ref="AA5:AD6"/>
    <mergeCell ref="AE5:AI6"/>
    <mergeCell ref="AJ5:AO6"/>
    <mergeCell ref="B5:E6"/>
    <mergeCell ref="F5:H6"/>
    <mergeCell ref="I5:J6"/>
    <mergeCell ref="K5:M6"/>
    <mergeCell ref="N5:O6"/>
    <mergeCell ref="P5:W6"/>
    <mergeCell ref="X5:Z6"/>
    <mergeCell ref="AA7:AD7"/>
    <mergeCell ref="AE7:AI7"/>
    <mergeCell ref="AJ7:AO7"/>
    <mergeCell ref="B7:E7"/>
    <mergeCell ref="F7:H7"/>
    <mergeCell ref="I7:J7"/>
    <mergeCell ref="K7:M7"/>
    <mergeCell ref="N7:O7"/>
    <mergeCell ref="P7:W7"/>
    <mergeCell ref="X7:Z7"/>
    <mergeCell ref="AA201:AD201"/>
    <mergeCell ref="AE201:AI201"/>
    <mergeCell ref="AJ201:AO201"/>
    <mergeCell ref="B201:E201"/>
    <mergeCell ref="F201:H201"/>
    <mergeCell ref="I201:J201"/>
    <mergeCell ref="K201:M201"/>
    <mergeCell ref="N201:O201"/>
    <mergeCell ref="P201:W201"/>
    <mergeCell ref="X201:Z201"/>
    <mergeCell ref="AA190:AD190"/>
    <mergeCell ref="AE190:AI190"/>
    <mergeCell ref="AJ190:AO190"/>
    <mergeCell ref="B190:E190"/>
    <mergeCell ref="F190:H190"/>
    <mergeCell ref="I190:J190"/>
    <mergeCell ref="K190:M190"/>
    <mergeCell ref="N190:O190"/>
    <mergeCell ref="P190:W190"/>
    <mergeCell ref="X190:Z190"/>
    <mergeCell ref="AA191:AD191"/>
    <mergeCell ref="AE191:AI191"/>
    <mergeCell ref="AJ191:AO191"/>
    <mergeCell ref="B191:E191"/>
    <mergeCell ref="F191:H191"/>
    <mergeCell ref="I191:J191"/>
    <mergeCell ref="K191:M191"/>
    <mergeCell ref="N191:O191"/>
    <mergeCell ref="P191:W191"/>
    <mergeCell ref="X191:Z191"/>
    <mergeCell ref="AA192:AD192"/>
    <mergeCell ref="AE192:AI192"/>
    <mergeCell ref="AJ192:AO192"/>
    <mergeCell ref="B192:E192"/>
    <mergeCell ref="F192:H192"/>
    <mergeCell ref="I192:J192"/>
    <mergeCell ref="K192:M192"/>
    <mergeCell ref="N192:O192"/>
    <mergeCell ref="P192:W192"/>
    <mergeCell ref="X192:Z192"/>
    <mergeCell ref="AA193:AD193"/>
    <mergeCell ref="AE193:AI193"/>
    <mergeCell ref="AJ193:AO193"/>
    <mergeCell ref="B193:E193"/>
    <mergeCell ref="F193:H193"/>
    <mergeCell ref="I193:J193"/>
    <mergeCell ref="K193:M193"/>
    <mergeCell ref="N193:O193"/>
    <mergeCell ref="P193:W193"/>
    <mergeCell ref="X193:Z193"/>
    <mergeCell ref="AA194:AD194"/>
    <mergeCell ref="AE194:AI194"/>
    <mergeCell ref="AJ194:AO194"/>
    <mergeCell ref="B194:E194"/>
    <mergeCell ref="F194:H194"/>
    <mergeCell ref="I194:J194"/>
    <mergeCell ref="K194:M194"/>
    <mergeCell ref="N194:O194"/>
    <mergeCell ref="P194:W194"/>
    <mergeCell ref="X194:Z194"/>
    <mergeCell ref="AA195:AD195"/>
    <mergeCell ref="AE195:AI195"/>
    <mergeCell ref="AJ195:AO195"/>
    <mergeCell ref="B195:E195"/>
    <mergeCell ref="F195:H195"/>
    <mergeCell ref="I195:J195"/>
    <mergeCell ref="K195:M195"/>
    <mergeCell ref="N195:O195"/>
    <mergeCell ref="P195:W195"/>
    <mergeCell ref="X195:Z195"/>
    <mergeCell ref="AA196:AD196"/>
    <mergeCell ref="AE196:AI196"/>
    <mergeCell ref="AJ196:AO196"/>
    <mergeCell ref="B196:E196"/>
    <mergeCell ref="F196:H196"/>
    <mergeCell ref="I196:J196"/>
    <mergeCell ref="K196:M196"/>
    <mergeCell ref="N196:O196"/>
    <mergeCell ref="P196:W196"/>
    <mergeCell ref="X196:Z196"/>
    <mergeCell ref="AA106:AD106"/>
    <mergeCell ref="AE106:AI106"/>
    <mergeCell ref="AJ106:AO106"/>
    <mergeCell ref="B106:E106"/>
    <mergeCell ref="F106:H106"/>
    <mergeCell ref="I106:J106"/>
    <mergeCell ref="K106:M106"/>
    <mergeCell ref="N106:O106"/>
    <mergeCell ref="P106:W106"/>
    <mergeCell ref="X106:Z106"/>
    <mergeCell ref="AA107:AD107"/>
    <mergeCell ref="AE107:AI107"/>
    <mergeCell ref="AJ107:AO107"/>
    <mergeCell ref="B107:E107"/>
    <mergeCell ref="F107:H107"/>
    <mergeCell ref="I107:J107"/>
    <mergeCell ref="K107:M107"/>
    <mergeCell ref="N107:O107"/>
    <mergeCell ref="P107:W107"/>
    <mergeCell ref="X107:Z107"/>
    <mergeCell ref="AA108:AD108"/>
    <mergeCell ref="AE108:AI108"/>
    <mergeCell ref="AJ108:AO108"/>
    <mergeCell ref="B108:E108"/>
    <mergeCell ref="F108:H108"/>
    <mergeCell ref="I108:J108"/>
    <mergeCell ref="K108:M108"/>
    <mergeCell ref="N108:O108"/>
    <mergeCell ref="P108:W108"/>
    <mergeCell ref="X108:Z108"/>
    <mergeCell ref="AA109:AD109"/>
    <mergeCell ref="AE109:AI109"/>
    <mergeCell ref="AJ109:AO109"/>
    <mergeCell ref="B109:E109"/>
    <mergeCell ref="F109:H109"/>
    <mergeCell ref="I109:J109"/>
    <mergeCell ref="K109:M109"/>
    <mergeCell ref="N109:O109"/>
    <mergeCell ref="P109:W109"/>
    <mergeCell ref="X109:Z109"/>
    <mergeCell ref="AA110:AD110"/>
    <mergeCell ref="AE110:AI110"/>
    <mergeCell ref="AJ110:AO110"/>
    <mergeCell ref="B110:E110"/>
    <mergeCell ref="F110:H110"/>
    <mergeCell ref="I110:J110"/>
    <mergeCell ref="K110:M110"/>
    <mergeCell ref="N110:O110"/>
    <mergeCell ref="P110:W110"/>
    <mergeCell ref="X110:Z110"/>
    <mergeCell ref="AA111:AD111"/>
    <mergeCell ref="AE111:AI111"/>
    <mergeCell ref="AJ111:AO111"/>
    <mergeCell ref="B111:E111"/>
    <mergeCell ref="F111:H111"/>
    <mergeCell ref="I111:J111"/>
    <mergeCell ref="K111:M111"/>
    <mergeCell ref="N111:O111"/>
    <mergeCell ref="P111:W111"/>
    <mergeCell ref="X111:Z111"/>
    <mergeCell ref="AA112:AD112"/>
    <mergeCell ref="AE112:AI112"/>
    <mergeCell ref="AJ112:AO112"/>
    <mergeCell ref="B112:E112"/>
    <mergeCell ref="F112:H112"/>
    <mergeCell ref="I112:J112"/>
    <mergeCell ref="K112:M112"/>
    <mergeCell ref="N112:O112"/>
    <mergeCell ref="P112:W112"/>
    <mergeCell ref="X112:Z112"/>
    <mergeCell ref="AA113:AD113"/>
    <mergeCell ref="AE113:AI113"/>
    <mergeCell ref="AJ113:AO113"/>
    <mergeCell ref="B113:E113"/>
    <mergeCell ref="F113:H113"/>
    <mergeCell ref="I113:J113"/>
    <mergeCell ref="K113:M113"/>
    <mergeCell ref="N113:O113"/>
    <mergeCell ref="P113:W113"/>
    <mergeCell ref="X113:Z113"/>
    <mergeCell ref="AA114:AD114"/>
    <mergeCell ref="AE114:AI114"/>
    <mergeCell ref="AJ114:AO114"/>
    <mergeCell ref="B114:E114"/>
    <mergeCell ref="F114:H114"/>
    <mergeCell ref="I114:J114"/>
    <mergeCell ref="K114:M114"/>
    <mergeCell ref="N114:O114"/>
    <mergeCell ref="P114:W114"/>
    <mergeCell ref="X114:Z114"/>
    <mergeCell ref="AA115:AD115"/>
    <mergeCell ref="AE115:AI115"/>
    <mergeCell ref="AJ115:AO115"/>
    <mergeCell ref="B115:E115"/>
    <mergeCell ref="F115:H115"/>
    <mergeCell ref="I115:J115"/>
    <mergeCell ref="K115:M115"/>
    <mergeCell ref="N115:O115"/>
    <mergeCell ref="P115:W115"/>
    <mergeCell ref="X115:Z115"/>
    <mergeCell ref="AA116:AD116"/>
    <mergeCell ref="AE116:AI116"/>
    <mergeCell ref="AJ116:AO116"/>
    <mergeCell ref="B116:E116"/>
    <mergeCell ref="F116:H116"/>
    <mergeCell ref="I116:J116"/>
    <mergeCell ref="K116:M116"/>
    <mergeCell ref="N116:O116"/>
    <mergeCell ref="P116:W116"/>
    <mergeCell ref="X116:Z116"/>
    <mergeCell ref="AA117:AD117"/>
    <mergeCell ref="AE117:AI117"/>
    <mergeCell ref="AJ117:AO117"/>
    <mergeCell ref="B117:E117"/>
    <mergeCell ref="F117:H117"/>
    <mergeCell ref="I117:J117"/>
    <mergeCell ref="K117:M117"/>
    <mergeCell ref="N117:O117"/>
    <mergeCell ref="P117:W117"/>
    <mergeCell ref="X117:Z117"/>
    <mergeCell ref="AA118:AD118"/>
    <mergeCell ref="AE118:AI118"/>
    <mergeCell ref="AJ118:AO118"/>
    <mergeCell ref="B118:E118"/>
    <mergeCell ref="F118:H118"/>
    <mergeCell ref="I118:J118"/>
    <mergeCell ref="K118:M118"/>
    <mergeCell ref="N118:O118"/>
    <mergeCell ref="P118:W118"/>
    <mergeCell ref="X118:Z118"/>
    <mergeCell ref="AA119:AD119"/>
    <mergeCell ref="AE119:AI119"/>
    <mergeCell ref="AJ119:AO119"/>
    <mergeCell ref="B119:E119"/>
    <mergeCell ref="F119:H119"/>
    <mergeCell ref="I119:J119"/>
    <mergeCell ref="K119:M119"/>
    <mergeCell ref="N119:O119"/>
    <mergeCell ref="P119:W119"/>
    <mergeCell ref="X119:Z119"/>
    <mergeCell ref="AA120:AD120"/>
    <mergeCell ref="AE120:AI120"/>
    <mergeCell ref="AJ120:AO120"/>
    <mergeCell ref="B120:E120"/>
    <mergeCell ref="F120:H120"/>
    <mergeCell ref="I120:J120"/>
    <mergeCell ref="K120:M120"/>
    <mergeCell ref="N120:O120"/>
    <mergeCell ref="P120:W120"/>
    <mergeCell ref="X120:Z120"/>
    <mergeCell ref="AA121:AD121"/>
    <mergeCell ref="AE121:AI121"/>
    <mergeCell ref="AJ121:AO121"/>
    <mergeCell ref="B121:E121"/>
    <mergeCell ref="F121:H121"/>
    <mergeCell ref="I121:J121"/>
    <mergeCell ref="K121:M121"/>
    <mergeCell ref="N121:O121"/>
    <mergeCell ref="P121:W121"/>
    <mergeCell ref="X121:Z121"/>
    <mergeCell ref="AA122:AD122"/>
    <mergeCell ref="AE122:AI122"/>
    <mergeCell ref="AJ122:AO122"/>
    <mergeCell ref="B122:E122"/>
    <mergeCell ref="F122:H122"/>
    <mergeCell ref="I122:J122"/>
    <mergeCell ref="K122:M122"/>
    <mergeCell ref="N122:O122"/>
    <mergeCell ref="P122:W122"/>
    <mergeCell ref="X122:Z122"/>
    <mergeCell ref="AA123:AD123"/>
    <mergeCell ref="AE123:AI123"/>
    <mergeCell ref="AJ123:AO123"/>
    <mergeCell ref="B123:E123"/>
    <mergeCell ref="F123:H123"/>
    <mergeCell ref="I123:J123"/>
    <mergeCell ref="K123:M123"/>
    <mergeCell ref="N123:O123"/>
    <mergeCell ref="P123:W123"/>
    <mergeCell ref="X123:Z123"/>
    <mergeCell ref="AA124:AD124"/>
    <mergeCell ref="AE124:AI124"/>
    <mergeCell ref="AJ124:AO124"/>
    <mergeCell ref="B124:E124"/>
    <mergeCell ref="F124:H124"/>
    <mergeCell ref="I124:J124"/>
    <mergeCell ref="K124:M124"/>
    <mergeCell ref="N124:O124"/>
    <mergeCell ref="P124:W124"/>
    <mergeCell ref="X124:Z124"/>
    <mergeCell ref="AA125:AD125"/>
    <mergeCell ref="AE125:AI125"/>
    <mergeCell ref="AJ125:AO125"/>
    <mergeCell ref="B125:E125"/>
    <mergeCell ref="F125:H125"/>
    <mergeCell ref="I125:J125"/>
    <mergeCell ref="K125:M125"/>
    <mergeCell ref="N125:O125"/>
    <mergeCell ref="P125:W125"/>
    <mergeCell ref="X125:Z125"/>
    <mergeCell ref="AA126:AD126"/>
    <mergeCell ref="AE126:AI126"/>
    <mergeCell ref="AJ126:AO126"/>
    <mergeCell ref="B126:E126"/>
    <mergeCell ref="F126:H126"/>
    <mergeCell ref="I126:J126"/>
    <mergeCell ref="K126:M126"/>
    <mergeCell ref="N126:O126"/>
    <mergeCell ref="P126:W126"/>
    <mergeCell ref="X126:Z126"/>
    <mergeCell ref="AA127:AD127"/>
    <mergeCell ref="AE127:AI127"/>
    <mergeCell ref="AJ127:AO127"/>
    <mergeCell ref="B127:E127"/>
    <mergeCell ref="F127:H127"/>
    <mergeCell ref="I127:J127"/>
    <mergeCell ref="K127:M127"/>
    <mergeCell ref="N127:O127"/>
    <mergeCell ref="P127:W127"/>
    <mergeCell ref="X127:Z127"/>
    <mergeCell ref="AA128:AD128"/>
    <mergeCell ref="AE128:AI128"/>
    <mergeCell ref="AJ128:AO128"/>
    <mergeCell ref="B128:E128"/>
    <mergeCell ref="F128:H128"/>
    <mergeCell ref="I128:J128"/>
    <mergeCell ref="K128:M128"/>
    <mergeCell ref="N128:O128"/>
    <mergeCell ref="P128:W128"/>
    <mergeCell ref="X128:Z128"/>
    <mergeCell ref="AA129:AD129"/>
    <mergeCell ref="AE129:AI129"/>
    <mergeCell ref="AJ129:AO129"/>
    <mergeCell ref="B129:E129"/>
    <mergeCell ref="F129:H129"/>
    <mergeCell ref="I129:J129"/>
    <mergeCell ref="K129:M129"/>
    <mergeCell ref="N129:O129"/>
    <mergeCell ref="P129:W129"/>
    <mergeCell ref="X129:Z129"/>
    <mergeCell ref="AA130:AD130"/>
    <mergeCell ref="AE130:AI130"/>
    <mergeCell ref="AJ130:AO130"/>
    <mergeCell ref="B130:E130"/>
    <mergeCell ref="F130:H130"/>
    <mergeCell ref="I130:J130"/>
    <mergeCell ref="K130:M130"/>
    <mergeCell ref="N130:O130"/>
    <mergeCell ref="P130:W130"/>
    <mergeCell ref="X130:Z130"/>
    <mergeCell ref="AA131:AD131"/>
    <mergeCell ref="AE131:AI131"/>
    <mergeCell ref="AJ131:AO131"/>
    <mergeCell ref="B131:E131"/>
    <mergeCell ref="F131:H131"/>
    <mergeCell ref="I131:J131"/>
    <mergeCell ref="K131:M131"/>
    <mergeCell ref="N131:O131"/>
    <mergeCell ref="P131:W131"/>
    <mergeCell ref="X131:Z131"/>
    <mergeCell ref="AA132:AD132"/>
    <mergeCell ref="AE132:AI132"/>
    <mergeCell ref="AJ132:AO132"/>
    <mergeCell ref="B132:E132"/>
    <mergeCell ref="F132:H132"/>
    <mergeCell ref="I132:J132"/>
    <mergeCell ref="K132:M132"/>
    <mergeCell ref="N132:O132"/>
    <mergeCell ref="P132:W132"/>
    <mergeCell ref="X132:Z132"/>
    <mergeCell ref="AA133:AD133"/>
    <mergeCell ref="AE133:AI133"/>
    <mergeCell ref="AJ133:AO133"/>
    <mergeCell ref="B133:E133"/>
    <mergeCell ref="F133:H133"/>
    <mergeCell ref="I133:J133"/>
    <mergeCell ref="K133:M133"/>
    <mergeCell ref="N133:O133"/>
    <mergeCell ref="P133:W133"/>
    <mergeCell ref="X133:Z133"/>
    <mergeCell ref="AA134:AD134"/>
    <mergeCell ref="AE134:AI134"/>
    <mergeCell ref="AJ134:AO134"/>
    <mergeCell ref="B134:E134"/>
    <mergeCell ref="F134:H134"/>
    <mergeCell ref="I134:J134"/>
    <mergeCell ref="K134:M134"/>
    <mergeCell ref="N134:O134"/>
    <mergeCell ref="P134:W134"/>
    <mergeCell ref="X134:Z134"/>
    <mergeCell ref="AA135:AD135"/>
    <mergeCell ref="AE135:AI135"/>
    <mergeCell ref="AJ135:AO135"/>
    <mergeCell ref="B135:E135"/>
    <mergeCell ref="F135:H135"/>
    <mergeCell ref="I135:J135"/>
    <mergeCell ref="K135:M135"/>
    <mergeCell ref="N135:O135"/>
    <mergeCell ref="P135:W135"/>
    <mergeCell ref="X135:Z135"/>
    <mergeCell ref="AA136:AD136"/>
    <mergeCell ref="AE136:AI136"/>
    <mergeCell ref="AJ136:AO136"/>
    <mergeCell ref="B136:E136"/>
    <mergeCell ref="F136:H136"/>
    <mergeCell ref="I136:J136"/>
    <mergeCell ref="K136:M136"/>
    <mergeCell ref="N136:O136"/>
    <mergeCell ref="P136:W136"/>
    <mergeCell ref="X136:Z136"/>
    <mergeCell ref="AA137:AD137"/>
    <mergeCell ref="AE137:AI137"/>
    <mergeCell ref="AJ137:AO137"/>
    <mergeCell ref="B137:E137"/>
    <mergeCell ref="F137:H137"/>
    <mergeCell ref="I137:J137"/>
    <mergeCell ref="K137:M137"/>
    <mergeCell ref="N137:O137"/>
    <mergeCell ref="P137:W137"/>
    <mergeCell ref="X137:Z137"/>
    <mergeCell ref="AA138:AD138"/>
    <mergeCell ref="AE138:AI138"/>
    <mergeCell ref="AJ138:AO138"/>
    <mergeCell ref="B138:E138"/>
    <mergeCell ref="F138:H138"/>
    <mergeCell ref="I138:J138"/>
    <mergeCell ref="K138:M138"/>
    <mergeCell ref="N138:O138"/>
    <mergeCell ref="P138:W138"/>
    <mergeCell ref="X138:Z138"/>
    <mergeCell ref="AA139:AD139"/>
    <mergeCell ref="AE139:AI139"/>
    <mergeCell ref="AJ139:AO139"/>
    <mergeCell ref="B139:E139"/>
    <mergeCell ref="F139:H139"/>
    <mergeCell ref="I139:J139"/>
    <mergeCell ref="K139:M139"/>
    <mergeCell ref="N139:O139"/>
    <mergeCell ref="P139:W139"/>
    <mergeCell ref="X139:Z139"/>
    <mergeCell ref="AA140:AD140"/>
    <mergeCell ref="AE140:AI140"/>
    <mergeCell ref="AJ140:AO140"/>
    <mergeCell ref="B140:E140"/>
    <mergeCell ref="F140:H140"/>
    <mergeCell ref="I140:J140"/>
    <mergeCell ref="K140:M140"/>
    <mergeCell ref="N140:O140"/>
    <mergeCell ref="P140:W140"/>
    <mergeCell ref="X140:Z140"/>
    <mergeCell ref="AA141:AD141"/>
    <mergeCell ref="AE141:AI141"/>
    <mergeCell ref="AJ141:AO141"/>
    <mergeCell ref="B141:E141"/>
    <mergeCell ref="F141:H141"/>
    <mergeCell ref="I141:J141"/>
    <mergeCell ref="K141:M141"/>
    <mergeCell ref="N141:O141"/>
    <mergeCell ref="P141:W141"/>
    <mergeCell ref="X141:Z141"/>
    <mergeCell ref="AA142:AD142"/>
    <mergeCell ref="AE142:AI142"/>
    <mergeCell ref="AJ142:AO142"/>
    <mergeCell ref="B142:E142"/>
    <mergeCell ref="F142:H142"/>
    <mergeCell ref="I142:J142"/>
    <mergeCell ref="K142:M142"/>
    <mergeCell ref="N142:O142"/>
    <mergeCell ref="P142:W142"/>
    <mergeCell ref="X142:Z142"/>
    <mergeCell ref="AA143:AD143"/>
    <mergeCell ref="AE143:AI143"/>
    <mergeCell ref="AJ143:AO143"/>
    <mergeCell ref="B143:E143"/>
    <mergeCell ref="F143:H143"/>
    <mergeCell ref="I143:J143"/>
    <mergeCell ref="K143:M143"/>
    <mergeCell ref="N143:O143"/>
    <mergeCell ref="P143:W143"/>
    <mergeCell ref="X143:Z143"/>
    <mergeCell ref="AA144:AD144"/>
    <mergeCell ref="AE144:AI144"/>
    <mergeCell ref="AJ144:AO144"/>
    <mergeCell ref="B144:E144"/>
    <mergeCell ref="F144:H144"/>
    <mergeCell ref="I144:J144"/>
    <mergeCell ref="K144:M144"/>
    <mergeCell ref="N144:O144"/>
    <mergeCell ref="P144:W144"/>
    <mergeCell ref="X144:Z144"/>
    <mergeCell ref="AA145:AD145"/>
    <mergeCell ref="AE145:AI145"/>
    <mergeCell ref="AJ145:AO145"/>
    <mergeCell ref="B145:E145"/>
    <mergeCell ref="F145:H145"/>
    <mergeCell ref="I145:J145"/>
    <mergeCell ref="K145:M145"/>
    <mergeCell ref="N145:O145"/>
    <mergeCell ref="P145:W145"/>
    <mergeCell ref="X145:Z145"/>
    <mergeCell ref="AA146:AD146"/>
    <mergeCell ref="AE146:AI146"/>
    <mergeCell ref="AJ146:AO146"/>
    <mergeCell ref="B146:E146"/>
    <mergeCell ref="F146:H146"/>
    <mergeCell ref="I146:J146"/>
    <mergeCell ref="K146:M146"/>
    <mergeCell ref="N146:O146"/>
    <mergeCell ref="P146:W146"/>
    <mergeCell ref="X146:Z146"/>
    <mergeCell ref="AA147:AD147"/>
    <mergeCell ref="AE147:AI147"/>
    <mergeCell ref="AJ147:AO147"/>
    <mergeCell ref="B147:E147"/>
    <mergeCell ref="F147:H147"/>
    <mergeCell ref="I147:J147"/>
    <mergeCell ref="K147:M147"/>
    <mergeCell ref="N147:O147"/>
    <mergeCell ref="P147:W147"/>
    <mergeCell ref="X147:Z147"/>
    <mergeCell ref="AA148:AD148"/>
    <mergeCell ref="AE148:AI148"/>
    <mergeCell ref="AJ148:AO148"/>
    <mergeCell ref="B148:E148"/>
    <mergeCell ref="F148:H148"/>
    <mergeCell ref="I148:J148"/>
    <mergeCell ref="K148:M148"/>
    <mergeCell ref="N148:O148"/>
    <mergeCell ref="P148:W148"/>
    <mergeCell ref="X148:Z148"/>
    <mergeCell ref="AA149:AD149"/>
    <mergeCell ref="AE149:AI149"/>
    <mergeCell ref="AJ149:AO149"/>
    <mergeCell ref="B149:E149"/>
    <mergeCell ref="F149:H149"/>
    <mergeCell ref="I149:J149"/>
    <mergeCell ref="K149:M149"/>
    <mergeCell ref="N149:O149"/>
    <mergeCell ref="P149:W149"/>
    <mergeCell ref="X149:Z149"/>
    <mergeCell ref="AA150:AD150"/>
    <mergeCell ref="AE150:AI150"/>
    <mergeCell ref="AJ150:AO150"/>
    <mergeCell ref="B150:E150"/>
    <mergeCell ref="F150:H150"/>
    <mergeCell ref="I150:J150"/>
    <mergeCell ref="K150:M150"/>
    <mergeCell ref="N150:O150"/>
    <mergeCell ref="P150:W150"/>
    <mergeCell ref="X150:Z150"/>
    <mergeCell ref="AA151:AD151"/>
    <mergeCell ref="AE151:AI151"/>
    <mergeCell ref="AJ151:AO151"/>
    <mergeCell ref="B151:E151"/>
    <mergeCell ref="F151:H151"/>
    <mergeCell ref="I151:J151"/>
    <mergeCell ref="K151:M151"/>
    <mergeCell ref="N151:O151"/>
    <mergeCell ref="P151:W151"/>
    <mergeCell ref="X151:Z151"/>
    <mergeCell ref="AA152:AD152"/>
    <mergeCell ref="AE152:AI152"/>
    <mergeCell ref="AJ152:AO152"/>
    <mergeCell ref="B152:E152"/>
    <mergeCell ref="F152:H152"/>
    <mergeCell ref="I152:J152"/>
    <mergeCell ref="K152:M152"/>
    <mergeCell ref="N152:O152"/>
    <mergeCell ref="P152:W152"/>
    <mergeCell ref="X152:Z152"/>
    <mergeCell ref="AA153:AD153"/>
    <mergeCell ref="AE153:AI153"/>
    <mergeCell ref="AJ153:AO153"/>
    <mergeCell ref="B153:E153"/>
    <mergeCell ref="F153:H153"/>
    <mergeCell ref="I153:J153"/>
    <mergeCell ref="K153:M153"/>
    <mergeCell ref="N153:O153"/>
    <mergeCell ref="P153:W153"/>
    <mergeCell ref="X153:Z153"/>
    <mergeCell ref="AA154:AD154"/>
    <mergeCell ref="AE154:AI154"/>
    <mergeCell ref="AJ154:AO154"/>
    <mergeCell ref="B154:E154"/>
    <mergeCell ref="F154:H154"/>
    <mergeCell ref="I154:J154"/>
    <mergeCell ref="K154:M154"/>
    <mergeCell ref="N154:O154"/>
    <mergeCell ref="P154:W154"/>
    <mergeCell ref="X154:Z154"/>
  </mergeCells>
  <conditionalFormatting sqref="F118:AO201">
    <cfRule type="expression" dxfId="43" priority="1">
      <formula>and($B118&lt;&gt;"",F118="")</formula>
    </cfRule>
  </conditionalFormatting>
  <drawing r:id="rId2"/>
  <legacyDrawing r:id="rId3"/>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6.0" topLeftCell="A7" activePane="bottomLeft" state="frozen"/>
      <selection activeCell="B8" sqref="B8" pane="bottomLeft"/>
    </sheetView>
  </sheetViews>
  <sheetFormatPr customHeight="1" defaultColWidth="14.43" defaultRowHeight="15.0"/>
  <cols>
    <col customWidth="1" min="1" max="42" width="3.0"/>
  </cols>
  <sheetData>
    <row r="1" ht="15.75" customHeight="1">
      <c r="A1" s="505"/>
      <c r="B1" s="506"/>
      <c r="C1" s="506"/>
      <c r="D1" s="506"/>
      <c r="E1" s="506"/>
      <c r="F1" s="506"/>
      <c r="G1" s="507"/>
      <c r="H1" s="506"/>
      <c r="I1" s="506"/>
      <c r="J1" s="506"/>
      <c r="K1" s="508"/>
      <c r="L1" s="506"/>
      <c r="M1" s="507"/>
      <c r="N1" s="507"/>
      <c r="O1" s="507" t="str">
        <f>IMAGE("http://i.imgur.com/4gaCjL0.png",2)</f>
        <v/>
      </c>
      <c r="P1" s="509" t="str">
        <f>IMAGE("https://i.imgur.com/IxRRFOd.png",2)</f>
        <v/>
      </c>
      <c r="AB1" s="510" t="str">
        <f>IMAGE("http://i.imgur.com/GYlWKEy.png",2)</f>
        <v/>
      </c>
      <c r="AC1" s="507"/>
      <c r="AD1" s="507"/>
      <c r="AE1" s="506"/>
      <c r="AF1" s="506"/>
      <c r="AG1" s="506"/>
      <c r="AH1" s="506"/>
      <c r="AI1" s="506"/>
      <c r="AJ1" s="507"/>
      <c r="AK1" s="506"/>
      <c r="AL1" s="506"/>
      <c r="AM1" s="506"/>
      <c r="AN1" s="511"/>
      <c r="AO1" s="511"/>
      <c r="AP1" s="512"/>
    </row>
    <row r="2" ht="15.75" customHeight="1">
      <c r="A2" s="505"/>
      <c r="B2" s="513" t="str">
        <f>IMAGE("http://i.imgur.com/txQSaWP.png",4,20,400)</f>
        <v/>
      </c>
      <c r="P2" s="514" t="s">
        <v>538</v>
      </c>
      <c r="Q2" s="25"/>
      <c r="R2" s="25"/>
      <c r="S2" s="25"/>
      <c r="T2" s="25"/>
      <c r="U2" s="25"/>
      <c r="V2" s="25"/>
      <c r="W2" s="25"/>
      <c r="X2" s="25"/>
      <c r="Y2" s="25"/>
      <c r="Z2" s="25"/>
      <c r="AA2" s="25"/>
      <c r="AC2" s="515" t="str">
        <f>IMAGE("http://i.imgur.com/txQSaWP.png",4,20,400)</f>
        <v/>
      </c>
      <c r="AP2" s="516"/>
    </row>
    <row r="3" ht="15.75" customHeight="1">
      <c r="A3" s="505"/>
      <c r="B3" s="548" t="s">
        <v>539</v>
      </c>
      <c r="P3" s="31"/>
      <c r="Q3" s="31"/>
      <c r="R3" s="31"/>
      <c r="S3" s="31"/>
      <c r="T3" s="31"/>
      <c r="U3" s="31"/>
      <c r="V3" s="31"/>
      <c r="W3" s="31"/>
      <c r="X3" s="31"/>
      <c r="Y3" s="31"/>
      <c r="Z3" s="31"/>
      <c r="AA3" s="31"/>
      <c r="AC3" s="518" t="s">
        <v>540</v>
      </c>
      <c r="AO3" s="11"/>
      <c r="AP3" s="512"/>
    </row>
    <row r="4" ht="15.75" customHeight="1">
      <c r="A4" s="505"/>
      <c r="B4" s="27"/>
      <c r="P4" s="511" t="str">
        <f>IMAGE("http://i.imgur.com/7WHiYi1.png",2)</f>
        <v/>
      </c>
      <c r="AO4" s="11"/>
      <c r="AP4" s="512"/>
    </row>
    <row r="5" ht="15.75" customHeight="1">
      <c r="A5" s="505"/>
      <c r="B5" s="540" t="s">
        <v>541</v>
      </c>
      <c r="C5" s="520"/>
      <c r="D5" s="520"/>
      <c r="E5" s="549" t="s">
        <v>542</v>
      </c>
      <c r="F5" s="520"/>
      <c r="G5" s="520"/>
      <c r="H5" s="520"/>
      <c r="I5" s="541" t="s">
        <v>543</v>
      </c>
      <c r="J5" s="520"/>
      <c r="K5" s="541" t="s">
        <v>544</v>
      </c>
      <c r="L5" s="520"/>
      <c r="M5" s="549" t="s">
        <v>545</v>
      </c>
      <c r="N5" s="520"/>
      <c r="O5" s="541" t="s">
        <v>483</v>
      </c>
      <c r="P5" s="520"/>
      <c r="Q5" s="541" t="s">
        <v>546</v>
      </c>
      <c r="R5" s="520"/>
      <c r="S5" s="520"/>
      <c r="T5" s="520"/>
      <c r="U5" s="520"/>
      <c r="V5" s="520"/>
      <c r="W5" s="520"/>
      <c r="X5" s="541" t="s">
        <v>547</v>
      </c>
      <c r="Y5" s="520"/>
      <c r="Z5" s="520"/>
      <c r="AA5" s="520"/>
      <c r="AB5" s="550" t="s">
        <v>548</v>
      </c>
      <c r="AC5" s="520"/>
      <c r="AD5" s="520"/>
      <c r="AE5" s="520"/>
      <c r="AF5" s="520"/>
      <c r="AG5" s="541" t="s">
        <v>549</v>
      </c>
      <c r="AH5" s="520"/>
      <c r="AI5" s="520"/>
      <c r="AJ5" s="541" t="s">
        <v>550</v>
      </c>
      <c r="AK5" s="520"/>
      <c r="AL5" s="520"/>
      <c r="AM5" s="541" t="s">
        <v>551</v>
      </c>
      <c r="AN5" s="520"/>
      <c r="AO5" s="522"/>
      <c r="AP5" s="551"/>
    </row>
    <row r="6" ht="15.75" customHeight="1">
      <c r="A6" s="505"/>
      <c r="B6" s="523"/>
      <c r="C6" s="524"/>
      <c r="D6" s="524"/>
      <c r="E6" s="524"/>
      <c r="F6" s="524"/>
      <c r="G6" s="524"/>
      <c r="H6" s="524"/>
      <c r="I6" s="524"/>
      <c r="J6" s="524"/>
      <c r="K6" s="524"/>
      <c r="L6" s="524"/>
      <c r="M6" s="524"/>
      <c r="N6" s="524"/>
      <c r="O6" s="524"/>
      <c r="P6" s="524"/>
      <c r="Q6" s="524"/>
      <c r="R6" s="524"/>
      <c r="S6" s="524"/>
      <c r="T6" s="524"/>
      <c r="U6" s="524"/>
      <c r="V6" s="524"/>
      <c r="W6" s="524"/>
      <c r="X6" s="524"/>
      <c r="Y6" s="524"/>
      <c r="Z6" s="524"/>
      <c r="AA6" s="524"/>
      <c r="AB6" s="524"/>
      <c r="AC6" s="524"/>
      <c r="AD6" s="524"/>
      <c r="AE6" s="524"/>
      <c r="AF6" s="524"/>
      <c r="AG6" s="524"/>
      <c r="AH6" s="524"/>
      <c r="AI6" s="524"/>
      <c r="AJ6" s="524"/>
      <c r="AK6" s="524"/>
      <c r="AL6" s="524"/>
      <c r="AM6" s="524"/>
      <c r="AN6" s="524"/>
      <c r="AO6" s="525"/>
      <c r="AP6" s="551"/>
    </row>
    <row r="7" ht="15.75" customHeight="1">
      <c r="A7" s="505"/>
      <c r="B7" s="526"/>
      <c r="E7" s="527"/>
      <c r="I7" s="527"/>
      <c r="K7" s="527"/>
      <c r="M7" s="527"/>
      <c r="O7" s="527"/>
      <c r="Q7" s="552"/>
      <c r="R7" s="553"/>
      <c r="S7" s="553"/>
      <c r="T7" s="553"/>
      <c r="U7" s="553"/>
      <c r="V7" s="553"/>
      <c r="W7" s="553"/>
      <c r="X7" s="527"/>
      <c r="AB7" s="527"/>
      <c r="AG7" s="527"/>
      <c r="AJ7" s="527"/>
      <c r="AM7" s="527"/>
      <c r="AO7" s="529"/>
      <c r="AP7" s="551">
        <f>if(isnumber(find(lower($B7),lower(concatenate(v2.1!$AR$6:$AR$15)))),vlookup($B7,v2.1!$AR$6:$AT$15,3,false),0)</f>
        <v>0</v>
      </c>
    </row>
    <row r="8" ht="15.75" customHeight="1">
      <c r="A8" s="505"/>
      <c r="B8" s="530"/>
      <c r="E8" s="531"/>
      <c r="I8" s="531"/>
      <c r="K8" s="531"/>
      <c r="M8" s="531"/>
      <c r="O8" s="531"/>
      <c r="Q8" s="554"/>
      <c r="X8" s="531"/>
      <c r="AB8" s="531"/>
      <c r="AG8" s="531"/>
      <c r="AJ8" s="531"/>
      <c r="AM8" s="531"/>
      <c r="AO8" s="533"/>
      <c r="AP8" s="551"/>
    </row>
    <row r="9" ht="15.75" customHeight="1">
      <c r="A9" s="505"/>
      <c r="B9" s="526"/>
      <c r="E9" s="527"/>
      <c r="I9" s="527"/>
      <c r="K9" s="527"/>
      <c r="M9" s="527"/>
      <c r="O9" s="527"/>
      <c r="Q9" s="555"/>
      <c r="X9" s="527"/>
      <c r="AB9" s="527"/>
      <c r="AG9" s="527"/>
      <c r="AJ9" s="527"/>
      <c r="AM9" s="527"/>
      <c r="AO9" s="529"/>
      <c r="AP9" s="551"/>
    </row>
    <row r="10" ht="15.75" customHeight="1">
      <c r="A10" s="505"/>
      <c r="B10" s="530"/>
      <c r="E10" s="531"/>
      <c r="I10" s="531"/>
      <c r="K10" s="531"/>
      <c r="M10" s="531"/>
      <c r="O10" s="531"/>
      <c r="Q10" s="554"/>
      <c r="X10" s="531"/>
      <c r="AB10" s="531"/>
      <c r="AG10" s="531"/>
      <c r="AJ10" s="531"/>
      <c r="AM10" s="531"/>
      <c r="AO10" s="533"/>
      <c r="AP10" s="551"/>
    </row>
    <row r="11" ht="15.75" customHeight="1">
      <c r="A11" s="505"/>
      <c r="B11" s="526" t="s">
        <v>164</v>
      </c>
      <c r="E11" s="527" t="s">
        <v>321</v>
      </c>
      <c r="I11" s="527" t="s">
        <v>552</v>
      </c>
      <c r="K11" s="527" t="s">
        <v>553</v>
      </c>
      <c r="M11" s="527" t="str">
        <f>if(BarbarianLevel&gt;=7,"adv","-")</f>
        <v>-</v>
      </c>
      <c r="O11" s="527" t="s">
        <v>321</v>
      </c>
      <c r="Q11" s="555" t="s">
        <v>554</v>
      </c>
      <c r="X11" s="527" t="s">
        <v>555</v>
      </c>
      <c r="AB11" s="527" t="s">
        <v>556</v>
      </c>
      <c r="AG11" s="527" t="s">
        <v>321</v>
      </c>
      <c r="AJ11" s="527" t="s">
        <v>321</v>
      </c>
      <c r="AM11" s="527" t="str">
        <f>if(BarbarianLevel&gt;=5,10,"-")</f>
        <v>-</v>
      </c>
      <c r="AO11" s="529"/>
      <c r="AP11" s="551">
        <f>if(isnumber(find(lower($B11),lower(concatenate(v2.1!$AR$6:$AR$15)))),vlookup($B11,v2.1!$AR$6:$AT$15,3,false),0)</f>
        <v>0</v>
      </c>
    </row>
    <row r="12" ht="15.75" customHeight="1">
      <c r="A12" s="505"/>
      <c r="B12" s="530"/>
      <c r="E12" s="531"/>
      <c r="I12" s="531"/>
      <c r="K12" s="531"/>
      <c r="M12" s="531"/>
      <c r="O12" s="531"/>
      <c r="Q12" s="554"/>
      <c r="X12" s="531"/>
      <c r="AB12" s="531"/>
      <c r="AG12" s="531"/>
      <c r="AJ12" s="531"/>
      <c r="AM12" s="531"/>
      <c r="AO12" s="533"/>
      <c r="AP12" s="551"/>
    </row>
    <row r="13" ht="15.75" customHeight="1">
      <c r="A13" s="505"/>
      <c r="B13" s="526"/>
      <c r="E13" s="527"/>
      <c r="I13" s="527"/>
      <c r="K13" s="527"/>
      <c r="M13" s="527"/>
      <c r="O13" s="527"/>
      <c r="Q13" s="555"/>
      <c r="X13" s="527"/>
      <c r="AB13" s="527"/>
      <c r="AG13" s="527"/>
      <c r="AJ13" s="527"/>
      <c r="AM13" s="527"/>
      <c r="AO13" s="529"/>
      <c r="AP13" s="551"/>
    </row>
    <row r="14" ht="15.75" customHeight="1">
      <c r="A14" s="505"/>
      <c r="B14" s="530" t="s">
        <v>164</v>
      </c>
      <c r="E14" s="531" t="s">
        <v>557</v>
      </c>
      <c r="I14" s="531" t="s">
        <v>321</v>
      </c>
      <c r="K14" s="531" t="s">
        <v>321</v>
      </c>
      <c r="M14" s="531" t="s">
        <v>321</v>
      </c>
      <c r="O14" s="531" t="s">
        <v>321</v>
      </c>
      <c r="Q14" s="554" t="s">
        <v>321</v>
      </c>
      <c r="X14" s="531" t="s">
        <v>321</v>
      </c>
      <c r="AB14" s="531" t="s">
        <v>321</v>
      </c>
      <c r="AG14" s="531" t="s">
        <v>321</v>
      </c>
      <c r="AJ14" s="531" t="s">
        <v>321</v>
      </c>
      <c r="AM14" s="531" t="s">
        <v>321</v>
      </c>
      <c r="AO14" s="533"/>
      <c r="AP14" s="551"/>
    </row>
    <row r="15" ht="15.75" customHeight="1">
      <c r="A15" s="505"/>
      <c r="B15" s="526"/>
      <c r="E15" s="527"/>
      <c r="I15" s="527"/>
      <c r="K15" s="527"/>
      <c r="M15" s="527"/>
      <c r="O15" s="527"/>
      <c r="Q15" s="555"/>
      <c r="X15" s="527"/>
      <c r="AB15" s="527"/>
      <c r="AG15" s="527"/>
      <c r="AJ15" s="527"/>
      <c r="AM15" s="527"/>
      <c r="AO15" s="529"/>
      <c r="AP15" s="551"/>
    </row>
    <row r="16" ht="15.75" customHeight="1">
      <c r="A16" s="505"/>
      <c r="B16" s="530"/>
      <c r="E16" s="531"/>
      <c r="I16" s="531"/>
      <c r="K16" s="531"/>
      <c r="M16" s="531"/>
      <c r="O16" s="531"/>
      <c r="Q16" s="554"/>
      <c r="X16" s="531"/>
      <c r="AB16" s="531"/>
      <c r="AG16" s="531"/>
      <c r="AJ16" s="531"/>
      <c r="AM16" s="531"/>
      <c r="AO16" s="533"/>
      <c r="AP16" s="551"/>
    </row>
    <row r="17" ht="15.75" customHeight="1">
      <c r="A17" s="505"/>
      <c r="B17" s="526"/>
      <c r="E17" s="527"/>
      <c r="I17" s="527"/>
      <c r="K17" s="527"/>
      <c r="M17" s="527"/>
      <c r="O17" s="527"/>
      <c r="Q17" s="555"/>
      <c r="X17" s="527"/>
      <c r="AB17" s="527"/>
      <c r="AG17" s="527"/>
      <c r="AJ17" s="527"/>
      <c r="AM17" s="527"/>
      <c r="AO17" s="529"/>
      <c r="AP17" s="551"/>
    </row>
    <row r="18" ht="15.75" customHeight="1">
      <c r="A18" s="505"/>
      <c r="B18" s="530" t="s">
        <v>166</v>
      </c>
      <c r="E18" s="531" t="s">
        <v>321</v>
      </c>
      <c r="I18" s="531" t="s">
        <v>321</v>
      </c>
      <c r="K18" s="531" t="s">
        <v>558</v>
      </c>
      <c r="M18" s="531" t="s">
        <v>321</v>
      </c>
      <c r="O18" s="531" t="s">
        <v>321</v>
      </c>
      <c r="Q18" s="556" t="s">
        <v>559</v>
      </c>
      <c r="X18" s="531" t="s">
        <v>560</v>
      </c>
      <c r="AB18" s="531" t="s">
        <v>561</v>
      </c>
      <c r="AG18" s="531" t="s">
        <v>562</v>
      </c>
      <c r="AJ18" s="531" t="s">
        <v>31</v>
      </c>
      <c r="AM18" s="531" t="s">
        <v>321</v>
      </c>
      <c r="AO18" s="533"/>
      <c r="AP18" s="551">
        <f>if(isnumber(find(lower($B18),lower(concatenate(v2.1!$AR$6:$AR$15)))),vlookup($B18,v2.1!$AR$6:$AT$15,3,false),0)</f>
        <v>0</v>
      </c>
    </row>
    <row r="19" ht="15.75" customHeight="1">
      <c r="A19" s="505"/>
      <c r="B19" s="526"/>
      <c r="E19" s="527"/>
      <c r="I19" s="527"/>
      <c r="K19" s="527"/>
      <c r="M19" s="527"/>
      <c r="O19" s="527"/>
      <c r="Q19" s="555"/>
      <c r="X19" s="527"/>
      <c r="AB19" s="527"/>
      <c r="AG19" s="527"/>
      <c r="AJ19" s="527"/>
      <c r="AM19" s="527"/>
      <c r="AO19" s="529"/>
      <c r="AP19" s="551"/>
    </row>
    <row r="20" ht="15.75" customHeight="1">
      <c r="A20" s="505"/>
      <c r="B20" s="530" t="s">
        <v>166</v>
      </c>
      <c r="E20" s="531" t="s">
        <v>563</v>
      </c>
      <c r="I20" s="531" t="s">
        <v>321</v>
      </c>
      <c r="K20" s="531" t="s">
        <v>321</v>
      </c>
      <c r="M20" s="531" t="s">
        <v>321</v>
      </c>
      <c r="O20" s="531" t="s">
        <v>321</v>
      </c>
      <c r="Q20" s="554" t="s">
        <v>321</v>
      </c>
      <c r="X20" s="531" t="s">
        <v>321</v>
      </c>
      <c r="AB20" s="531" t="s">
        <v>321</v>
      </c>
      <c r="AG20" s="531" t="s">
        <v>321</v>
      </c>
      <c r="AJ20" s="531" t="s">
        <v>321</v>
      </c>
      <c r="AM20" s="531" t="s">
        <v>321</v>
      </c>
      <c r="AO20" s="533"/>
      <c r="AP20" s="551"/>
    </row>
    <row r="21" ht="15.75" customHeight="1">
      <c r="A21" s="505"/>
      <c r="B21" s="526"/>
      <c r="E21" s="527"/>
      <c r="I21" s="527"/>
      <c r="K21" s="527"/>
      <c r="M21" s="527"/>
      <c r="O21" s="527"/>
      <c r="Q21" s="555"/>
      <c r="X21" s="527"/>
      <c r="AB21" s="527"/>
      <c r="AG21" s="527"/>
      <c r="AJ21" s="527"/>
      <c r="AM21" s="527"/>
      <c r="AO21" s="529"/>
      <c r="AP21" s="551"/>
    </row>
    <row r="22" ht="15.75" customHeight="1">
      <c r="A22" s="505"/>
      <c r="B22" s="530"/>
      <c r="E22" s="531"/>
      <c r="I22" s="531"/>
      <c r="K22" s="531"/>
      <c r="M22" s="531"/>
      <c r="O22" s="531"/>
      <c r="Q22" s="554"/>
      <c r="X22" s="531"/>
      <c r="AB22" s="531"/>
      <c r="AG22" s="531"/>
      <c r="AJ22" s="531"/>
      <c r="AM22" s="531"/>
      <c r="AO22" s="533"/>
      <c r="AP22" s="551"/>
    </row>
    <row r="23" ht="15.75" customHeight="1">
      <c r="A23" s="505"/>
      <c r="B23" s="526"/>
      <c r="E23" s="527"/>
      <c r="I23" s="527"/>
      <c r="K23" s="527"/>
      <c r="M23" s="527"/>
      <c r="O23" s="527"/>
      <c r="Q23" s="555"/>
      <c r="X23" s="527"/>
      <c r="AB23" s="527"/>
      <c r="AG23" s="527"/>
      <c r="AJ23" s="527"/>
      <c r="AM23" s="527"/>
      <c r="AO23" s="529"/>
      <c r="AP23" s="551"/>
    </row>
    <row r="24" ht="15.75" customHeight="1">
      <c r="A24" s="505"/>
      <c r="B24" s="530" t="s">
        <v>169</v>
      </c>
      <c r="E24" s="531" t="s">
        <v>321</v>
      </c>
      <c r="I24" s="531" t="s">
        <v>321</v>
      </c>
      <c r="K24" s="531" t="s">
        <v>558</v>
      </c>
      <c r="M24" s="531" t="s">
        <v>321</v>
      </c>
      <c r="O24" s="531" t="s">
        <v>321</v>
      </c>
      <c r="Q24" s="554" t="s">
        <v>564</v>
      </c>
      <c r="X24" s="531" t="s">
        <v>565</v>
      </c>
      <c r="AB24" s="531" t="s">
        <v>566</v>
      </c>
      <c r="AG24" s="531" t="s">
        <v>562</v>
      </c>
      <c r="AJ24" s="531" t="s">
        <v>29</v>
      </c>
      <c r="AM24" s="531" t="s">
        <v>321</v>
      </c>
      <c r="AO24" s="533"/>
      <c r="AP24" s="551">
        <f>if(isnumber(find(lower($B24),lower(concatenate(v2.1!$AR$6:$AR$15)))),vlookup($B24,v2.1!$AR$6:$AT$15,3,false),0)</f>
        <v>0</v>
      </c>
    </row>
    <row r="25" ht="15.75" customHeight="1">
      <c r="A25" s="505"/>
      <c r="B25" s="526"/>
      <c r="E25" s="527"/>
      <c r="I25" s="527"/>
      <c r="K25" s="527"/>
      <c r="M25" s="527"/>
      <c r="O25" s="527"/>
      <c r="Q25" s="555"/>
      <c r="X25" s="527"/>
      <c r="AB25" s="527"/>
      <c r="AG25" s="527"/>
      <c r="AJ25" s="527"/>
      <c r="AM25" s="527"/>
      <c r="AO25" s="529"/>
      <c r="AP25" s="551"/>
    </row>
    <row r="26" ht="15.75" customHeight="1">
      <c r="A26" s="505"/>
      <c r="B26" s="530"/>
      <c r="E26" s="531"/>
      <c r="I26" s="531"/>
      <c r="K26" s="531"/>
      <c r="M26" s="531"/>
      <c r="O26" s="531"/>
      <c r="Q26" s="554"/>
      <c r="X26" s="531"/>
      <c r="AB26" s="531"/>
      <c r="AG26" s="531"/>
      <c r="AJ26" s="531"/>
      <c r="AM26" s="531"/>
      <c r="AO26" s="533"/>
      <c r="AP26" s="551"/>
    </row>
    <row r="27" ht="15.75" customHeight="1">
      <c r="A27" s="505"/>
      <c r="B27" s="526"/>
      <c r="E27" s="527"/>
      <c r="I27" s="527"/>
      <c r="K27" s="527"/>
      <c r="M27" s="527"/>
      <c r="O27" s="527"/>
      <c r="Q27" s="555"/>
      <c r="X27" s="527"/>
      <c r="AB27" s="527"/>
      <c r="AG27" s="527"/>
      <c r="AJ27" s="527"/>
      <c r="AM27" s="527"/>
      <c r="AO27" s="529"/>
      <c r="AP27" s="551"/>
    </row>
    <row r="28" ht="15.75" customHeight="1">
      <c r="A28" s="505"/>
      <c r="B28" s="530"/>
      <c r="E28" s="531"/>
      <c r="I28" s="531"/>
      <c r="K28" s="531"/>
      <c r="M28" s="531"/>
      <c r="O28" s="531"/>
      <c r="Q28" s="554"/>
      <c r="X28" s="531"/>
      <c r="AB28" s="531"/>
      <c r="AG28" s="531"/>
      <c r="AJ28" s="531"/>
      <c r="AM28" s="531"/>
      <c r="AO28" s="533"/>
      <c r="AP28" s="551"/>
    </row>
    <row r="29" ht="15.75" customHeight="1">
      <c r="A29" s="505"/>
      <c r="B29" s="526"/>
      <c r="E29" s="527"/>
      <c r="I29" s="527"/>
      <c r="K29" s="527"/>
      <c r="M29" s="527"/>
      <c r="O29" s="527"/>
      <c r="Q29" s="555"/>
      <c r="X29" s="527"/>
      <c r="AB29" s="527"/>
      <c r="AG29" s="527"/>
      <c r="AJ29" s="527"/>
      <c r="AM29" s="527"/>
      <c r="AO29" s="529"/>
      <c r="AP29" s="551"/>
    </row>
    <row r="30" ht="15.75" customHeight="1">
      <c r="A30" s="505"/>
      <c r="B30" s="530" t="s">
        <v>169</v>
      </c>
      <c r="E30" s="531" t="s">
        <v>567</v>
      </c>
      <c r="I30" s="531" t="s">
        <v>321</v>
      </c>
      <c r="K30" s="531" t="s">
        <v>321</v>
      </c>
      <c r="M30" s="531" t="s">
        <v>321</v>
      </c>
      <c r="O30" s="531" t="s">
        <v>321</v>
      </c>
      <c r="Q30" s="554" t="s">
        <v>321</v>
      </c>
      <c r="X30" s="531" t="s">
        <v>321</v>
      </c>
      <c r="AB30" s="531" t="s">
        <v>465</v>
      </c>
      <c r="AG30" s="531" t="s">
        <v>321</v>
      </c>
      <c r="AJ30" s="531" t="s">
        <v>321</v>
      </c>
      <c r="AM30" s="531" t="s">
        <v>321</v>
      </c>
      <c r="AO30" s="533"/>
      <c r="AP30" s="551"/>
    </row>
    <row r="31" ht="15.75" customHeight="1">
      <c r="A31" s="505"/>
      <c r="B31" s="526"/>
      <c r="E31" s="527"/>
      <c r="I31" s="527"/>
      <c r="K31" s="527"/>
      <c r="M31" s="527"/>
      <c r="O31" s="527"/>
      <c r="Q31" s="555"/>
      <c r="X31" s="527"/>
      <c r="AB31" s="527"/>
      <c r="AG31" s="527"/>
      <c r="AJ31" s="527"/>
      <c r="AM31" s="527"/>
      <c r="AO31" s="529"/>
      <c r="AP31" s="551"/>
    </row>
    <row r="32" ht="15.75" customHeight="1">
      <c r="A32" s="505"/>
      <c r="B32" s="530"/>
      <c r="E32" s="531"/>
      <c r="I32" s="531"/>
      <c r="K32" s="531"/>
      <c r="M32" s="531"/>
      <c r="O32" s="531"/>
      <c r="Q32" s="554"/>
      <c r="X32" s="531"/>
      <c r="AB32" s="531"/>
      <c r="AG32" s="531"/>
      <c r="AJ32" s="531"/>
      <c r="AM32" s="531"/>
      <c r="AO32" s="533"/>
      <c r="AP32" s="551"/>
    </row>
    <row r="33" ht="15.75" customHeight="1">
      <c r="A33" s="505"/>
      <c r="B33" s="526"/>
      <c r="E33" s="527"/>
      <c r="I33" s="527"/>
      <c r="K33" s="527"/>
      <c r="M33" s="527"/>
      <c r="O33" s="527"/>
      <c r="Q33" s="555"/>
      <c r="X33" s="527"/>
      <c r="AB33" s="527"/>
      <c r="AG33" s="527"/>
      <c r="AJ33" s="527"/>
      <c r="AM33" s="527"/>
      <c r="AO33" s="529"/>
      <c r="AP33" s="551"/>
    </row>
    <row r="34" ht="15.75" customHeight="1">
      <c r="A34" s="505"/>
      <c r="B34" s="530"/>
      <c r="E34" s="531"/>
      <c r="I34" s="531"/>
      <c r="K34" s="531"/>
      <c r="M34" s="531"/>
      <c r="O34" s="531"/>
      <c r="Q34" s="554"/>
      <c r="X34" s="531"/>
      <c r="AB34" s="531"/>
      <c r="AG34" s="531"/>
      <c r="AJ34" s="531"/>
      <c r="AM34" s="531"/>
      <c r="AO34" s="533"/>
      <c r="AP34" s="551"/>
    </row>
    <row r="35" ht="15.75" customHeight="1">
      <c r="A35" s="505"/>
      <c r="B35" s="526"/>
      <c r="E35" s="527"/>
      <c r="I35" s="527"/>
      <c r="K35" s="527"/>
      <c r="M35" s="527"/>
      <c r="O35" s="527"/>
      <c r="Q35" s="555"/>
      <c r="X35" s="527"/>
      <c r="AB35" s="527"/>
      <c r="AG35" s="527"/>
      <c r="AJ35" s="527"/>
      <c r="AM35" s="527"/>
      <c r="AO35" s="529"/>
      <c r="AP35" s="551"/>
    </row>
    <row r="36" ht="15.75" customHeight="1">
      <c r="A36" s="505"/>
      <c r="B36" s="530"/>
      <c r="E36" s="531"/>
      <c r="I36" s="531"/>
      <c r="K36" s="531"/>
      <c r="M36" s="531"/>
      <c r="O36" s="531"/>
      <c r="Q36" s="554"/>
      <c r="X36" s="531"/>
      <c r="AB36" s="531"/>
      <c r="AG36" s="531"/>
      <c r="AJ36" s="531"/>
      <c r="AM36" s="531"/>
      <c r="AO36" s="533"/>
      <c r="AP36" s="551"/>
    </row>
    <row r="37" ht="15.75" customHeight="1">
      <c r="A37" s="505"/>
      <c r="B37" s="526" t="s">
        <v>171</v>
      </c>
      <c r="E37" s="527" t="s">
        <v>321</v>
      </c>
      <c r="I37" s="527" t="s">
        <v>321</v>
      </c>
      <c r="K37" s="527" t="s">
        <v>558</v>
      </c>
      <c r="M37" s="527" t="s">
        <v>321</v>
      </c>
      <c r="O37" s="527" t="s">
        <v>321</v>
      </c>
      <c r="Q37" s="555" t="s">
        <v>568</v>
      </c>
      <c r="X37" s="527" t="s">
        <v>569</v>
      </c>
      <c r="AB37" s="527" t="s">
        <v>570</v>
      </c>
      <c r="AG37" s="527" t="s">
        <v>562</v>
      </c>
      <c r="AJ37" s="527" t="s">
        <v>29</v>
      </c>
      <c r="AM37" s="527" t="s">
        <v>321</v>
      </c>
      <c r="AO37" s="529"/>
      <c r="AP37" s="551">
        <f>if(isnumber(find(lower($B37),lower(concatenate(v2.1!$AR$6:$AR$15)))),vlookup($B37,v2.1!$AR$6:$AT$15,3,false),0)</f>
        <v>0</v>
      </c>
    </row>
    <row r="38" ht="15.75" customHeight="1">
      <c r="A38" s="505"/>
      <c r="B38" s="530"/>
      <c r="E38" s="531"/>
      <c r="I38" s="531"/>
      <c r="K38" s="531"/>
      <c r="M38" s="531"/>
      <c r="O38" s="531"/>
      <c r="Q38" s="554"/>
      <c r="X38" s="531"/>
      <c r="AB38" s="531"/>
      <c r="AG38" s="531"/>
      <c r="AJ38" s="531"/>
      <c r="AM38" s="531"/>
      <c r="AO38" s="533"/>
      <c r="AP38" s="551"/>
    </row>
    <row r="39" ht="15.75" customHeight="1">
      <c r="A39" s="505"/>
      <c r="B39" s="526"/>
      <c r="E39" s="527"/>
      <c r="I39" s="527"/>
      <c r="K39" s="527"/>
      <c r="M39" s="527"/>
      <c r="O39" s="527"/>
      <c r="Q39" s="555"/>
      <c r="X39" s="527"/>
      <c r="AB39" s="527"/>
      <c r="AG39" s="527"/>
      <c r="AJ39" s="527"/>
      <c r="AM39" s="527"/>
      <c r="AO39" s="529"/>
      <c r="AP39" s="551"/>
    </row>
    <row r="40" ht="15.75" customHeight="1">
      <c r="A40" s="505"/>
      <c r="B40" s="530" t="s">
        <v>171</v>
      </c>
      <c r="E40" s="531" t="s">
        <v>571</v>
      </c>
      <c r="I40" s="531" t="s">
        <v>321</v>
      </c>
      <c r="K40" s="531" t="s">
        <v>321</v>
      </c>
      <c r="M40" s="531" t="s">
        <v>321</v>
      </c>
      <c r="O40" s="531" t="s">
        <v>321</v>
      </c>
      <c r="Q40" s="554" t="s">
        <v>321</v>
      </c>
      <c r="X40" s="531" t="s">
        <v>321</v>
      </c>
      <c r="AB40" s="531" t="s">
        <v>321</v>
      </c>
      <c r="AG40" s="531" t="s">
        <v>321</v>
      </c>
      <c r="AJ40" s="531" t="s">
        <v>321</v>
      </c>
      <c r="AM40" s="531" t="s">
        <v>321</v>
      </c>
      <c r="AO40" s="533"/>
      <c r="AP40" s="551"/>
    </row>
    <row r="41" ht="15.75" customHeight="1">
      <c r="A41" s="505"/>
      <c r="B41" s="526"/>
      <c r="E41" s="527"/>
      <c r="I41" s="527"/>
      <c r="K41" s="527"/>
      <c r="M41" s="527"/>
      <c r="O41" s="527"/>
      <c r="Q41" s="555"/>
      <c r="X41" s="527"/>
      <c r="AB41" s="527"/>
      <c r="AG41" s="527"/>
      <c r="AJ41" s="527"/>
      <c r="AM41" s="527"/>
      <c r="AO41" s="529"/>
      <c r="AP41" s="551"/>
    </row>
    <row r="42" ht="15.75" customHeight="1">
      <c r="A42" s="505"/>
      <c r="B42" s="530"/>
      <c r="E42" s="531"/>
      <c r="I42" s="531"/>
      <c r="K42" s="531"/>
      <c r="M42" s="531"/>
      <c r="O42" s="531"/>
      <c r="Q42" s="554"/>
      <c r="X42" s="531"/>
      <c r="AB42" s="531"/>
      <c r="AG42" s="531"/>
      <c r="AJ42" s="531"/>
      <c r="AM42" s="531"/>
      <c r="AO42" s="533"/>
      <c r="AP42" s="551"/>
    </row>
    <row r="43" ht="15.75" customHeight="1">
      <c r="A43" s="505"/>
      <c r="B43" s="526" t="s">
        <v>173</v>
      </c>
      <c r="E43" s="527" t="s">
        <v>321</v>
      </c>
      <c r="I43" s="527" t="s">
        <v>321</v>
      </c>
      <c r="K43" s="527" t="s">
        <v>572</v>
      </c>
      <c r="M43" s="527" t="s">
        <v>321</v>
      </c>
      <c r="O43" s="527" t="s">
        <v>321</v>
      </c>
      <c r="Q43" s="557" t="s">
        <v>573</v>
      </c>
      <c r="X43" s="527" t="s">
        <v>465</v>
      </c>
      <c r="AB43" s="527" t="s">
        <v>574</v>
      </c>
      <c r="AG43" s="527" t="s">
        <v>321</v>
      </c>
      <c r="AJ43" s="527" t="s">
        <v>321</v>
      </c>
      <c r="AM43" s="527" t="s">
        <v>321</v>
      </c>
      <c r="AO43" s="529"/>
      <c r="AP43" s="551">
        <f>if(isnumber(find(lower($B43),lower(concatenate(v2.1!$AR$6:$AR$15)))),vlookup($B43,v2.1!$AR$6:$AT$15,3,false),0)</f>
        <v>0</v>
      </c>
    </row>
    <row r="44" ht="15.75" customHeight="1">
      <c r="A44" s="505"/>
      <c r="B44" s="530"/>
      <c r="E44" s="531"/>
      <c r="I44" s="531"/>
      <c r="K44" s="531"/>
      <c r="M44" s="531"/>
      <c r="O44" s="531"/>
      <c r="Q44" s="554"/>
      <c r="X44" s="531"/>
      <c r="AB44" s="531"/>
      <c r="AG44" s="531"/>
      <c r="AJ44" s="531"/>
      <c r="AM44" s="531"/>
      <c r="AO44" s="533"/>
      <c r="AP44" s="551"/>
    </row>
    <row r="45" ht="15.75" customHeight="1">
      <c r="A45" s="505"/>
      <c r="B45" s="526"/>
      <c r="E45" s="527"/>
      <c r="I45" s="527"/>
      <c r="K45" s="527"/>
      <c r="M45" s="527"/>
      <c r="O45" s="527"/>
      <c r="Q45" s="555"/>
      <c r="X45" s="527"/>
      <c r="AB45" s="527"/>
      <c r="AG45" s="527"/>
      <c r="AJ45" s="527"/>
      <c r="AM45" s="527"/>
      <c r="AO45" s="529"/>
      <c r="AP45" s="551"/>
    </row>
    <row r="46" ht="15.75" customHeight="1">
      <c r="A46" s="505"/>
      <c r="B46" s="530"/>
      <c r="E46" s="531"/>
      <c r="I46" s="531"/>
      <c r="K46" s="531"/>
      <c r="M46" s="531"/>
      <c r="O46" s="531"/>
      <c r="Q46" s="554"/>
      <c r="X46" s="531"/>
      <c r="AB46" s="531"/>
      <c r="AG46" s="531"/>
      <c r="AJ46" s="531"/>
      <c r="AM46" s="531"/>
      <c r="AO46" s="533"/>
      <c r="AP46" s="551"/>
    </row>
    <row r="47" ht="15.75" customHeight="1">
      <c r="A47" s="505"/>
      <c r="B47" s="526" t="s">
        <v>173</v>
      </c>
      <c r="E47" s="527" t="s">
        <v>575</v>
      </c>
      <c r="I47" s="527" t="s">
        <v>321</v>
      </c>
      <c r="K47" s="527" t="s">
        <v>321</v>
      </c>
      <c r="M47" s="527" t="s">
        <v>321</v>
      </c>
      <c r="O47" s="527" t="s">
        <v>321</v>
      </c>
      <c r="Q47" s="555" t="s">
        <v>321</v>
      </c>
      <c r="X47" s="527" t="s">
        <v>321</v>
      </c>
      <c r="AB47" s="527" t="s">
        <v>321</v>
      </c>
      <c r="AG47" s="527" t="s">
        <v>321</v>
      </c>
      <c r="AJ47" s="527" t="s">
        <v>321</v>
      </c>
      <c r="AM47" s="527" t="s">
        <v>321</v>
      </c>
      <c r="AO47" s="529"/>
      <c r="AP47" s="551"/>
    </row>
    <row r="48" ht="15.75" customHeight="1">
      <c r="A48" s="505"/>
      <c r="B48" s="530"/>
      <c r="E48" s="531"/>
      <c r="I48" s="531"/>
      <c r="K48" s="531"/>
      <c r="M48" s="531"/>
      <c r="O48" s="531"/>
      <c r="Q48" s="554"/>
      <c r="X48" s="531"/>
      <c r="AB48" s="531"/>
      <c r="AG48" s="531"/>
      <c r="AJ48" s="531"/>
      <c r="AM48" s="531"/>
      <c r="AO48" s="533"/>
      <c r="AP48" s="551"/>
    </row>
    <row r="49" ht="15.75" customHeight="1">
      <c r="A49" s="505"/>
      <c r="B49" s="526"/>
      <c r="E49" s="527"/>
      <c r="I49" s="527"/>
      <c r="K49" s="527"/>
      <c r="M49" s="527"/>
      <c r="O49" s="527"/>
      <c r="Q49" s="555"/>
      <c r="X49" s="527"/>
      <c r="AB49" s="527"/>
      <c r="AG49" s="527"/>
      <c r="AJ49" s="527"/>
      <c r="AM49" s="527"/>
      <c r="AO49" s="529"/>
      <c r="AP49" s="551"/>
    </row>
    <row r="50" ht="15.75" customHeight="1">
      <c r="A50" s="505"/>
      <c r="B50" s="530"/>
      <c r="E50" s="531"/>
      <c r="I50" s="531"/>
      <c r="K50" s="531"/>
      <c r="M50" s="531"/>
      <c r="O50" s="531"/>
      <c r="Q50" s="554"/>
      <c r="X50" s="531"/>
      <c r="AB50" s="531"/>
      <c r="AG50" s="531"/>
      <c r="AJ50" s="531"/>
      <c r="AM50" s="531"/>
      <c r="AO50" s="533"/>
      <c r="AP50" s="551"/>
    </row>
    <row r="51" ht="15.75" customHeight="1">
      <c r="A51" s="505"/>
      <c r="B51" s="526"/>
      <c r="E51" s="527"/>
      <c r="I51" s="527"/>
      <c r="K51" s="527"/>
      <c r="M51" s="527"/>
      <c r="O51" s="527"/>
      <c r="Q51" s="555"/>
      <c r="X51" s="527"/>
      <c r="AB51" s="527"/>
      <c r="AG51" s="527"/>
      <c r="AJ51" s="527"/>
      <c r="AM51" s="527"/>
      <c r="AO51" s="529"/>
      <c r="AP51" s="551"/>
    </row>
    <row r="52" ht="15.75" customHeight="1">
      <c r="A52" s="505"/>
      <c r="B52" s="530" t="s">
        <v>175</v>
      </c>
      <c r="E52" s="531" t="s">
        <v>321</v>
      </c>
      <c r="I52" s="531" t="s">
        <v>576</v>
      </c>
      <c r="K52" s="531" t="s">
        <v>558</v>
      </c>
      <c r="M52" s="531" t="s">
        <v>321</v>
      </c>
      <c r="O52" s="531" t="s">
        <v>321</v>
      </c>
      <c r="Q52" s="554" t="str">
        <f>"Strength, Dexterity"&amp;if(MonkLevel&gt;=14,", Constitution, Intelligence, Wisdom, Charisma","")&amp;", Choose 2, Acrobatics, Athletics, History, Insight, Religion, Stealth"</f>
        <v>Strength, Dexterity, Choose 2, Acrobatics, Athletics, History, Insight, Religion, Stealth</v>
      </c>
      <c r="X52" s="531" t="s">
        <v>577</v>
      </c>
      <c r="AB52" s="531" t="s">
        <v>578</v>
      </c>
      <c r="AG52" s="531" t="s">
        <v>321</v>
      </c>
      <c r="AJ52" s="531" t="s">
        <v>321</v>
      </c>
      <c r="AM52" s="531" t="str">
        <f>if(MonkLevel,choose(MonkLevel,0,10,10,10,10,15,15,15,15,20,20,20,20,25,25,25,25,30,30,30),"-")</f>
        <v>-</v>
      </c>
      <c r="AO52" s="533"/>
      <c r="AP52" s="551">
        <f>if(isnumber(find(lower($B52),lower(concatenate(v2.1!$AR$6:$AR$15)))),vlookup($B52,v2.1!$AR$6:$AT$15,3,false),0)</f>
        <v>0</v>
      </c>
    </row>
    <row r="53" ht="15.75" customHeight="1">
      <c r="A53" s="505"/>
      <c r="B53" s="526"/>
      <c r="E53" s="527"/>
      <c r="I53" s="527"/>
      <c r="K53" s="527"/>
      <c r="M53" s="527"/>
      <c r="O53" s="527"/>
      <c r="Q53" s="555"/>
      <c r="X53" s="527"/>
      <c r="AB53" s="527"/>
      <c r="AG53" s="527"/>
      <c r="AJ53" s="527"/>
      <c r="AM53" s="527"/>
      <c r="AO53" s="529"/>
      <c r="AP53" s="551"/>
    </row>
    <row r="54" ht="15.75" customHeight="1">
      <c r="A54" s="505"/>
      <c r="B54" s="530"/>
      <c r="E54" s="531"/>
      <c r="I54" s="531"/>
      <c r="K54" s="531"/>
      <c r="M54" s="531"/>
      <c r="O54" s="531"/>
      <c r="Q54" s="554"/>
      <c r="X54" s="531"/>
      <c r="AB54" s="531"/>
      <c r="AG54" s="531"/>
      <c r="AJ54" s="531"/>
      <c r="AM54" s="531"/>
      <c r="AO54" s="533"/>
      <c r="AP54" s="551"/>
    </row>
    <row r="55" ht="15.75" customHeight="1">
      <c r="A55" s="505"/>
      <c r="B55" s="526"/>
      <c r="E55" s="527"/>
      <c r="I55" s="527"/>
      <c r="K55" s="527"/>
      <c r="M55" s="527"/>
      <c r="O55" s="527"/>
      <c r="Q55" s="555"/>
      <c r="X55" s="527"/>
      <c r="AB55" s="527"/>
      <c r="AG55" s="527"/>
      <c r="AJ55" s="527"/>
      <c r="AM55" s="527"/>
      <c r="AO55" s="529"/>
      <c r="AP55" s="551"/>
    </row>
    <row r="56" ht="15.75" customHeight="1">
      <c r="A56" s="505"/>
      <c r="B56" s="530"/>
      <c r="E56" s="531"/>
      <c r="I56" s="531"/>
      <c r="K56" s="531"/>
      <c r="M56" s="531"/>
      <c r="O56" s="531"/>
      <c r="Q56" s="554"/>
      <c r="X56" s="531"/>
      <c r="AB56" s="531"/>
      <c r="AG56" s="531"/>
      <c r="AJ56" s="531"/>
      <c r="AM56" s="531"/>
      <c r="AO56" s="533"/>
      <c r="AP56" s="551"/>
    </row>
    <row r="57" ht="15.75" customHeight="1">
      <c r="A57" s="505"/>
      <c r="B57" s="526"/>
      <c r="E57" s="527"/>
      <c r="I57" s="527"/>
      <c r="K57" s="527"/>
      <c r="M57" s="527"/>
      <c r="O57" s="527"/>
      <c r="Q57" s="555"/>
      <c r="X57" s="527"/>
      <c r="AB57" s="527"/>
      <c r="AG57" s="527"/>
      <c r="AJ57" s="527"/>
      <c r="AM57" s="527"/>
      <c r="AO57" s="529"/>
      <c r="AP57" s="551"/>
    </row>
    <row r="58" ht="15.75" customHeight="1">
      <c r="A58" s="505"/>
      <c r="B58" s="530" t="s">
        <v>175</v>
      </c>
      <c r="E58" s="531" t="s">
        <v>579</v>
      </c>
      <c r="I58" s="531" t="s">
        <v>321</v>
      </c>
      <c r="K58" s="531" t="s">
        <v>321</v>
      </c>
      <c r="M58" s="531" t="s">
        <v>321</v>
      </c>
      <c r="O58" s="531" t="s">
        <v>321</v>
      </c>
      <c r="Q58" s="554" t="s">
        <v>321</v>
      </c>
      <c r="X58" s="531" t="s">
        <v>321</v>
      </c>
      <c r="AB58" s="531" t="s">
        <v>321</v>
      </c>
      <c r="AG58" s="531" t="s">
        <v>321</v>
      </c>
      <c r="AJ58" s="531" t="s">
        <v>321</v>
      </c>
      <c r="AM58" s="531" t="s">
        <v>321</v>
      </c>
      <c r="AO58" s="533"/>
      <c r="AP58" s="551"/>
    </row>
    <row r="59" ht="15.75" customHeight="1">
      <c r="A59" s="505"/>
      <c r="B59" s="526"/>
      <c r="E59" s="527"/>
      <c r="I59" s="527"/>
      <c r="K59" s="527"/>
      <c r="M59" s="527"/>
      <c r="O59" s="527"/>
      <c r="Q59" s="555"/>
      <c r="X59" s="527"/>
      <c r="AB59" s="527"/>
      <c r="AG59" s="527"/>
      <c r="AJ59" s="527"/>
      <c r="AM59" s="527"/>
      <c r="AO59" s="529"/>
      <c r="AP59" s="551"/>
    </row>
    <row r="60" ht="15.75" customHeight="1">
      <c r="A60" s="505"/>
      <c r="B60" s="530" t="s">
        <v>177</v>
      </c>
      <c r="E60" s="531" t="s">
        <v>321</v>
      </c>
      <c r="I60" s="531" t="s">
        <v>321</v>
      </c>
      <c r="K60" s="531" t="s">
        <v>572</v>
      </c>
      <c r="M60" s="531" t="s">
        <v>321</v>
      </c>
      <c r="O60" s="531" t="s">
        <v>321</v>
      </c>
      <c r="Q60" s="554" t="s">
        <v>580</v>
      </c>
      <c r="X60" s="531" t="s">
        <v>465</v>
      </c>
      <c r="AB60" s="531" t="s">
        <v>574</v>
      </c>
      <c r="AG60" s="531" t="s">
        <v>581</v>
      </c>
      <c r="AJ60" s="531" t="s">
        <v>31</v>
      </c>
      <c r="AM60" s="531" t="s">
        <v>321</v>
      </c>
      <c r="AO60" s="533"/>
      <c r="AP60" s="551">
        <f>if(isnumber(find(lower($B60),lower(concatenate(v2.1!$AR$6:$AR$15)))),vlookup($B60,v2.1!$AR$6:$AT$15,3,false),0)</f>
        <v>0</v>
      </c>
    </row>
    <row r="61" ht="15.75" customHeight="1">
      <c r="A61" s="505"/>
      <c r="B61" s="526"/>
      <c r="E61" s="527"/>
      <c r="I61" s="527"/>
      <c r="K61" s="527"/>
      <c r="M61" s="527"/>
      <c r="O61" s="527"/>
      <c r="Q61" s="555"/>
      <c r="X61" s="527"/>
      <c r="AB61" s="527"/>
      <c r="AG61" s="527"/>
      <c r="AJ61" s="527"/>
      <c r="AM61" s="527"/>
      <c r="AO61" s="529"/>
      <c r="AP61" s="551"/>
    </row>
    <row r="62" ht="15.75" customHeight="1">
      <c r="A62" s="505"/>
      <c r="B62" s="530" t="s">
        <v>177</v>
      </c>
      <c r="E62" s="531" t="s">
        <v>582</v>
      </c>
      <c r="I62" s="531" t="s">
        <v>321</v>
      </c>
      <c r="K62" s="531" t="s">
        <v>321</v>
      </c>
      <c r="M62" s="531" t="s">
        <v>321</v>
      </c>
      <c r="O62" s="531" t="s">
        <v>321</v>
      </c>
      <c r="Q62" s="554" t="s">
        <v>321</v>
      </c>
      <c r="X62" s="531" t="s">
        <v>321</v>
      </c>
      <c r="AB62" s="531" t="s">
        <v>321</v>
      </c>
      <c r="AG62" s="531" t="s">
        <v>321</v>
      </c>
      <c r="AJ62" s="531" t="s">
        <v>321</v>
      </c>
      <c r="AM62" s="531" t="s">
        <v>321</v>
      </c>
      <c r="AO62" s="533"/>
      <c r="AP62" s="551"/>
    </row>
    <row r="63" ht="15.75" customHeight="1">
      <c r="A63" s="505"/>
      <c r="B63" s="526"/>
      <c r="E63" s="527"/>
      <c r="I63" s="527"/>
      <c r="K63" s="527"/>
      <c r="M63" s="527"/>
      <c r="O63" s="527"/>
      <c r="Q63" s="555"/>
      <c r="X63" s="527"/>
      <c r="AB63" s="527"/>
      <c r="AG63" s="527"/>
      <c r="AJ63" s="527"/>
      <c r="AM63" s="527"/>
      <c r="AO63" s="529"/>
      <c r="AP63" s="551"/>
    </row>
    <row r="64" ht="15.75" customHeight="1">
      <c r="A64" s="505"/>
      <c r="B64" s="530"/>
      <c r="E64" s="531"/>
      <c r="I64" s="531"/>
      <c r="K64" s="531"/>
      <c r="M64" s="531"/>
      <c r="O64" s="531"/>
      <c r="Q64" s="554"/>
      <c r="X64" s="531"/>
      <c r="AB64" s="531"/>
      <c r="AG64" s="531"/>
      <c r="AJ64" s="531"/>
      <c r="AM64" s="531"/>
      <c r="AO64" s="533"/>
      <c r="AP64" s="551"/>
    </row>
    <row r="65" ht="15.75" customHeight="1">
      <c r="A65" s="505"/>
      <c r="B65" s="526"/>
      <c r="E65" s="527"/>
      <c r="I65" s="527"/>
      <c r="K65" s="527"/>
      <c r="M65" s="527"/>
      <c r="O65" s="527"/>
      <c r="Q65" s="555"/>
      <c r="X65" s="527"/>
      <c r="AB65" s="527"/>
      <c r="AG65" s="527"/>
      <c r="AJ65" s="527"/>
      <c r="AM65" s="527"/>
      <c r="AO65" s="529"/>
      <c r="AP65" s="551"/>
    </row>
    <row r="66" ht="15.75" customHeight="1">
      <c r="A66" s="505"/>
      <c r="B66" s="530"/>
      <c r="E66" s="531"/>
      <c r="I66" s="531"/>
      <c r="K66" s="531"/>
      <c r="M66" s="531"/>
      <c r="O66" s="531"/>
      <c r="Q66" s="554"/>
      <c r="X66" s="531"/>
      <c r="AB66" s="531"/>
      <c r="AG66" s="531"/>
      <c r="AJ66" s="531"/>
      <c r="AM66" s="531"/>
      <c r="AO66" s="533"/>
      <c r="AP66" s="551"/>
    </row>
    <row r="67" ht="15.75" customHeight="1">
      <c r="A67" s="505"/>
      <c r="B67" s="526"/>
      <c r="E67" s="527"/>
      <c r="I67" s="527"/>
      <c r="K67" s="527"/>
      <c r="M67" s="527"/>
      <c r="O67" s="527"/>
      <c r="Q67" s="555"/>
      <c r="X67" s="527"/>
      <c r="AB67" s="527"/>
      <c r="AG67" s="527"/>
      <c r="AJ67" s="527"/>
      <c r="AM67" s="527"/>
      <c r="AO67" s="529"/>
      <c r="AP67" s="551"/>
    </row>
    <row r="68" ht="15.75" customHeight="1">
      <c r="A68" s="505"/>
      <c r="B68" s="530" t="s">
        <v>179</v>
      </c>
      <c r="E68" s="531" t="s">
        <v>321</v>
      </c>
      <c r="I68" s="531" t="s">
        <v>321</v>
      </c>
      <c r="K68" s="531" t="s">
        <v>572</v>
      </c>
      <c r="M68" s="531" t="s">
        <v>321</v>
      </c>
      <c r="O68" s="531" t="s">
        <v>321</v>
      </c>
      <c r="Q68" s="556" t="s">
        <v>583</v>
      </c>
      <c r="X68" s="531" t="s">
        <v>321</v>
      </c>
      <c r="AB68" s="531" t="s">
        <v>584</v>
      </c>
      <c r="AG68" s="531" t="s">
        <v>581</v>
      </c>
      <c r="AJ68" s="531" t="s">
        <v>29</v>
      </c>
      <c r="AM68" s="531" t="s">
        <v>321</v>
      </c>
      <c r="AO68" s="533"/>
      <c r="AP68" s="551">
        <f>if(isnumber(find(lower($B68),lower(concatenate(v2.1!$AR$6:$AR$15)))),vlookup($B68,v2.1!$AR$6:$AT$15,3,false),0)</f>
        <v>0</v>
      </c>
    </row>
    <row r="69" ht="15.75" customHeight="1">
      <c r="A69" s="505"/>
      <c r="B69" s="526"/>
      <c r="E69" s="527"/>
      <c r="I69" s="527"/>
      <c r="K69" s="527"/>
      <c r="M69" s="527"/>
      <c r="O69" s="527"/>
      <c r="Q69" s="555"/>
      <c r="X69" s="527"/>
      <c r="AB69" s="527"/>
      <c r="AG69" s="527"/>
      <c r="AJ69" s="527"/>
      <c r="AM69" s="527"/>
      <c r="AO69" s="529"/>
      <c r="AP69" s="551"/>
    </row>
    <row r="70" ht="15.75" customHeight="1">
      <c r="A70" s="505"/>
      <c r="B70" s="530"/>
      <c r="E70" s="531"/>
      <c r="I70" s="531"/>
      <c r="K70" s="531"/>
      <c r="M70" s="558"/>
      <c r="O70" s="531"/>
      <c r="Q70" s="554"/>
      <c r="X70" s="531"/>
      <c r="AB70" s="531"/>
      <c r="AG70" s="531"/>
      <c r="AJ70" s="531"/>
      <c r="AM70" s="531"/>
      <c r="AO70" s="533"/>
      <c r="AP70" s="551"/>
    </row>
    <row r="71" ht="15.75" customHeight="1">
      <c r="A71" s="505"/>
      <c r="B71" s="526"/>
      <c r="E71" s="527"/>
      <c r="I71" s="527"/>
      <c r="K71" s="527"/>
      <c r="M71" s="527"/>
      <c r="O71" s="527"/>
      <c r="Q71" s="555"/>
      <c r="X71" s="527"/>
      <c r="AB71" s="527"/>
      <c r="AG71" s="527"/>
      <c r="AJ71" s="527"/>
      <c r="AM71" s="527"/>
      <c r="AO71" s="529"/>
      <c r="AP71" s="551"/>
    </row>
    <row r="72" ht="15.75" customHeight="1">
      <c r="A72" s="505"/>
      <c r="B72" s="530" t="s">
        <v>179</v>
      </c>
      <c r="E72" s="531" t="s">
        <v>585</v>
      </c>
      <c r="I72" s="531" t="s">
        <v>321</v>
      </c>
      <c r="K72" s="531" t="s">
        <v>321</v>
      </c>
      <c r="M72" s="531"/>
      <c r="O72" s="531" t="s">
        <v>321</v>
      </c>
      <c r="Q72" s="554" t="s">
        <v>321</v>
      </c>
      <c r="X72" s="531" t="s">
        <v>321</v>
      </c>
      <c r="AB72" s="531" t="s">
        <v>321</v>
      </c>
      <c r="AG72" s="531" t="s">
        <v>321</v>
      </c>
      <c r="AJ72" s="531" t="s">
        <v>321</v>
      </c>
      <c r="AM72" s="531" t="s">
        <v>321</v>
      </c>
      <c r="AO72" s="533"/>
      <c r="AP72" s="551"/>
    </row>
    <row r="73" ht="15.75" customHeight="1">
      <c r="A73" s="505"/>
      <c r="B73" s="526"/>
      <c r="E73" s="527"/>
      <c r="I73" s="527"/>
      <c r="K73" s="527"/>
      <c r="M73" s="527"/>
      <c r="O73" s="527"/>
      <c r="Q73" s="555"/>
      <c r="X73" s="527"/>
      <c r="AB73" s="527"/>
      <c r="AG73" s="527"/>
      <c r="AJ73" s="527"/>
      <c r="AM73" s="527"/>
      <c r="AO73" s="529"/>
      <c r="AP73" s="551"/>
    </row>
    <row r="74" ht="15.75" customHeight="1">
      <c r="A74" s="505"/>
      <c r="B74" s="530" t="s">
        <v>181</v>
      </c>
      <c r="E74" s="531" t="s">
        <v>321</v>
      </c>
      <c r="I74" s="531" t="s">
        <v>321</v>
      </c>
      <c r="K74" s="531" t="s">
        <v>558</v>
      </c>
      <c r="M74" s="531" t="s">
        <v>321</v>
      </c>
      <c r="O74" s="531" t="s">
        <v>321</v>
      </c>
      <c r="Q74" s="556" t="s">
        <v>586</v>
      </c>
      <c r="X74" s="531" t="s">
        <v>587</v>
      </c>
      <c r="AB74" s="535" t="s">
        <v>588</v>
      </c>
      <c r="AG74" s="531" t="s">
        <v>321</v>
      </c>
      <c r="AJ74" s="531" t="s">
        <v>321</v>
      </c>
      <c r="AM74" s="531" t="s">
        <v>321</v>
      </c>
      <c r="AO74" s="533"/>
      <c r="AP74" s="551">
        <f>if(isnumber(find(lower($B74),lower(concatenate(v2.1!$AR$6:$AR$15)))),vlookup($B74,v2.1!$AR$6:$AT$15,3,false),0)</f>
        <v>0</v>
      </c>
    </row>
    <row r="75" ht="15.75" customHeight="1">
      <c r="A75" s="505"/>
      <c r="B75" s="526"/>
      <c r="E75" s="527"/>
      <c r="I75" s="527"/>
      <c r="K75" s="527"/>
      <c r="M75" s="527"/>
      <c r="O75" s="527"/>
      <c r="Q75" s="555"/>
      <c r="X75" s="527"/>
      <c r="AB75" s="527"/>
      <c r="AG75" s="527"/>
      <c r="AJ75" s="527"/>
      <c r="AM75" s="527"/>
      <c r="AO75" s="529"/>
      <c r="AP75" s="551"/>
    </row>
    <row r="76" ht="15.75" customHeight="1">
      <c r="A76" s="505"/>
      <c r="B76" s="530"/>
      <c r="E76" s="531"/>
      <c r="I76" s="531"/>
      <c r="K76" s="531"/>
      <c r="M76" s="531"/>
      <c r="O76" s="531"/>
      <c r="Q76" s="554"/>
      <c r="X76" s="531"/>
      <c r="AB76" s="531"/>
      <c r="AG76" s="531"/>
      <c r="AJ76" s="531"/>
      <c r="AM76" s="531"/>
      <c r="AO76" s="533"/>
      <c r="AP76" s="551"/>
    </row>
    <row r="77" ht="15.75" customHeight="1">
      <c r="A77" s="505"/>
      <c r="B77" s="526"/>
      <c r="E77" s="527"/>
      <c r="I77" s="527"/>
      <c r="K77" s="527"/>
      <c r="M77" s="527"/>
      <c r="O77" s="527"/>
      <c r="Q77" s="555"/>
      <c r="X77" s="527"/>
      <c r="AB77" s="527"/>
      <c r="AG77" s="527"/>
      <c r="AJ77" s="527"/>
      <c r="AM77" s="527"/>
      <c r="AO77" s="529"/>
      <c r="AP77" s="551"/>
    </row>
    <row r="78" ht="15.75" customHeight="1">
      <c r="A78" s="505"/>
      <c r="B78" s="530"/>
      <c r="E78" s="531"/>
      <c r="I78" s="531"/>
      <c r="K78" s="531"/>
      <c r="M78" s="531"/>
      <c r="O78" s="531"/>
      <c r="Q78" s="554"/>
      <c r="X78" s="531"/>
      <c r="AB78" s="531"/>
      <c r="AG78" s="531"/>
      <c r="AJ78" s="531"/>
      <c r="AM78" s="531"/>
      <c r="AO78" s="533"/>
      <c r="AP78" s="551"/>
    </row>
    <row r="79" ht="15.75" customHeight="1">
      <c r="A79" s="505"/>
      <c r="B79" s="526"/>
      <c r="E79" s="527"/>
      <c r="I79" s="527"/>
      <c r="K79" s="527"/>
      <c r="M79" s="527"/>
      <c r="O79" s="527"/>
      <c r="Q79" s="555"/>
      <c r="X79" s="527"/>
      <c r="AB79" s="527"/>
      <c r="AG79" s="527"/>
      <c r="AJ79" s="527"/>
      <c r="AM79" s="527"/>
      <c r="AO79" s="529"/>
      <c r="AP79" s="551"/>
    </row>
    <row r="80" ht="15.75" customHeight="1">
      <c r="A80" s="505"/>
      <c r="B80" s="530"/>
      <c r="E80" s="531"/>
      <c r="I80" s="531"/>
      <c r="K80" s="531"/>
      <c r="M80" s="558"/>
      <c r="O80" s="531"/>
      <c r="Q80" s="554"/>
      <c r="X80" s="531"/>
      <c r="AB80" s="531"/>
      <c r="AG80" s="531"/>
      <c r="AJ80" s="531"/>
      <c r="AM80" s="531"/>
      <c r="AO80" s="533"/>
      <c r="AP80" s="551"/>
    </row>
    <row r="81" ht="15.75" customHeight="1">
      <c r="A81" s="505"/>
      <c r="B81" s="526" t="s">
        <v>181</v>
      </c>
      <c r="E81" s="527" t="s">
        <v>589</v>
      </c>
      <c r="I81" s="527" t="s">
        <v>321</v>
      </c>
      <c r="K81" s="527" t="s">
        <v>321</v>
      </c>
      <c r="M81" s="527" t="s">
        <v>321</v>
      </c>
      <c r="O81" s="527" t="s">
        <v>321</v>
      </c>
      <c r="Q81" s="555" t="s">
        <v>321</v>
      </c>
      <c r="X81" s="527" t="s">
        <v>321</v>
      </c>
      <c r="AB81" s="527" t="s">
        <v>321</v>
      </c>
      <c r="AG81" s="527" t="s">
        <v>321</v>
      </c>
      <c r="AJ81" s="527" t="s">
        <v>321</v>
      </c>
      <c r="AM81" s="527" t="s">
        <v>321</v>
      </c>
      <c r="AO81" s="529"/>
      <c r="AP81" s="551"/>
    </row>
    <row r="82" ht="15.75" customHeight="1">
      <c r="A82" s="505"/>
      <c r="B82" s="530" t="s">
        <v>183</v>
      </c>
      <c r="E82" s="531" t="s">
        <v>321</v>
      </c>
      <c r="I82" s="531" t="s">
        <v>321</v>
      </c>
      <c r="K82" s="531" t="s">
        <v>590</v>
      </c>
      <c r="M82" s="531" t="s">
        <v>321</v>
      </c>
      <c r="O82" s="531" t="s">
        <v>321</v>
      </c>
      <c r="Q82" s="554" t="s">
        <v>591</v>
      </c>
      <c r="X82" s="531" t="s">
        <v>592</v>
      </c>
      <c r="AB82" s="531" t="s">
        <v>321</v>
      </c>
      <c r="AG82" s="531" t="s">
        <v>562</v>
      </c>
      <c r="AJ82" s="531" t="s">
        <v>31</v>
      </c>
      <c r="AM82" s="531" t="s">
        <v>321</v>
      </c>
      <c r="AO82" s="533"/>
      <c r="AP82" s="551">
        <f>if(isnumber(find(lower($B82),lower(concatenate(v2.1!$AR$6:$AR$15)))),vlookup($B82,v2.1!$AR$6:$AT$15,3,false),0)</f>
        <v>0</v>
      </c>
    </row>
    <row r="83" ht="15.75" customHeight="1">
      <c r="A83" s="505"/>
      <c r="B83" s="526"/>
      <c r="E83" s="527"/>
      <c r="I83" s="527"/>
      <c r="K83" s="527"/>
      <c r="M83" s="527"/>
      <c r="O83" s="527"/>
      <c r="Q83" s="555"/>
      <c r="X83" s="527"/>
      <c r="AB83" s="527"/>
      <c r="AG83" s="527"/>
      <c r="AJ83" s="527"/>
      <c r="AM83" s="527"/>
      <c r="AO83" s="529"/>
      <c r="AP83" s="551"/>
    </row>
    <row r="84" ht="15.75" customHeight="1">
      <c r="A84" s="505"/>
      <c r="B84" s="530" t="s">
        <v>183</v>
      </c>
      <c r="E84" s="531" t="s">
        <v>593</v>
      </c>
      <c r="I84" s="531" t="s">
        <v>594</v>
      </c>
      <c r="K84" s="531" t="s">
        <v>321</v>
      </c>
      <c r="M84" s="531" t="s">
        <v>321</v>
      </c>
      <c r="O84" s="531">
        <v>1.0</v>
      </c>
      <c r="Q84" s="554" t="s">
        <v>321</v>
      </c>
      <c r="X84" s="531" t="s">
        <v>321</v>
      </c>
      <c r="AB84" s="531" t="s">
        <v>321</v>
      </c>
      <c r="AG84" s="531" t="s">
        <v>321</v>
      </c>
      <c r="AJ84" s="531" t="s">
        <v>321</v>
      </c>
      <c r="AM84" s="531" t="s">
        <v>321</v>
      </c>
      <c r="AO84" s="533"/>
      <c r="AP84" s="551"/>
    </row>
    <row r="85" ht="15.75" customHeight="1">
      <c r="A85" s="505"/>
      <c r="B85" s="526"/>
      <c r="E85" s="527"/>
      <c r="I85" s="527"/>
      <c r="K85" s="527"/>
      <c r="M85" s="527"/>
      <c r="O85" s="527"/>
      <c r="Q85" s="555"/>
      <c r="X85" s="527"/>
      <c r="AB85" s="527"/>
      <c r="AG85" s="527"/>
      <c r="AJ85" s="527"/>
      <c r="AM85" s="527"/>
      <c r="AO85" s="529"/>
      <c r="AP85" s="551"/>
    </row>
    <row r="86" ht="15.75" customHeight="1">
      <c r="A86" s="505"/>
      <c r="B86" s="530"/>
      <c r="E86" s="531"/>
      <c r="I86" s="531"/>
      <c r="K86" s="531"/>
      <c r="M86" s="531"/>
      <c r="O86" s="531"/>
      <c r="Q86" s="554"/>
      <c r="X86" s="531"/>
      <c r="AB86" s="535"/>
      <c r="AG86" s="531"/>
      <c r="AJ86" s="531"/>
      <c r="AM86" s="531"/>
      <c r="AO86" s="533"/>
      <c r="AP86" s="551"/>
    </row>
    <row r="87" ht="15.75" customHeight="1">
      <c r="A87" s="505"/>
      <c r="B87" s="526"/>
      <c r="E87" s="527"/>
      <c r="I87" s="527"/>
      <c r="K87" s="527"/>
      <c r="M87" s="527"/>
      <c r="O87" s="527"/>
      <c r="Q87" s="555"/>
      <c r="X87" s="527"/>
      <c r="AB87" s="527"/>
      <c r="AG87" s="527"/>
      <c r="AJ87" s="527"/>
      <c r="AM87" s="527"/>
      <c r="AO87" s="529"/>
      <c r="AP87" s="551"/>
    </row>
    <row r="88" ht="15.75" customHeight="1">
      <c r="A88" s="505"/>
      <c r="B88" s="530" t="s">
        <v>186</v>
      </c>
      <c r="E88" s="531" t="s">
        <v>321</v>
      </c>
      <c r="I88" s="531" t="s">
        <v>321</v>
      </c>
      <c r="K88" s="531" t="s">
        <v>558</v>
      </c>
      <c r="M88" s="531" t="s">
        <v>321</v>
      </c>
      <c r="O88" s="531" t="s">
        <v>321</v>
      </c>
      <c r="Q88" s="554" t="s">
        <v>595</v>
      </c>
      <c r="X88" s="531" t="s">
        <v>321</v>
      </c>
      <c r="AB88" s="531" t="s">
        <v>596</v>
      </c>
      <c r="AG88" s="531" t="s">
        <v>597</v>
      </c>
      <c r="AJ88" s="531" t="s">
        <v>31</v>
      </c>
      <c r="AM88" s="531" t="s">
        <v>321</v>
      </c>
      <c r="AO88" s="533"/>
      <c r="AP88" s="551">
        <f>if(isnumber(find(lower($B88),lower(concatenate(v2.1!$AR$6:$AR$15)))),vlookup($B88,v2.1!$AR$6:$AT$15,3,false),0)</f>
        <v>0</v>
      </c>
    </row>
    <row r="89" ht="15.75" customHeight="1">
      <c r="A89" s="505"/>
      <c r="B89" s="526"/>
      <c r="E89" s="527"/>
      <c r="I89" s="527"/>
      <c r="K89" s="527"/>
      <c r="M89" s="527"/>
      <c r="O89" s="527"/>
      <c r="Q89" s="555"/>
      <c r="X89" s="527"/>
      <c r="AB89" s="527"/>
      <c r="AG89" s="527"/>
      <c r="AJ89" s="527"/>
      <c r="AM89" s="527"/>
      <c r="AO89" s="529"/>
      <c r="AP89" s="551"/>
    </row>
    <row r="90" ht="15.75" customHeight="1">
      <c r="A90" s="505"/>
      <c r="B90" s="530"/>
      <c r="E90" s="531"/>
      <c r="I90" s="531"/>
      <c r="K90" s="531"/>
      <c r="M90" s="531"/>
      <c r="O90" s="531"/>
      <c r="Q90" s="554"/>
      <c r="X90" s="531"/>
      <c r="AB90" s="531"/>
      <c r="AG90" s="531"/>
      <c r="AJ90" s="531"/>
      <c r="AM90" s="531"/>
      <c r="AO90" s="533"/>
      <c r="AP90" s="551"/>
    </row>
    <row r="91" ht="15.75" customHeight="1">
      <c r="A91" s="505"/>
      <c r="B91" s="526" t="s">
        <v>186</v>
      </c>
      <c r="E91" s="527" t="s">
        <v>598</v>
      </c>
      <c r="I91" s="527" t="s">
        <v>321</v>
      </c>
      <c r="K91" s="527" t="s">
        <v>321</v>
      </c>
      <c r="M91" s="527" t="s">
        <v>321</v>
      </c>
      <c r="O91" s="527" t="s">
        <v>321</v>
      </c>
      <c r="Q91" s="555" t="s">
        <v>321</v>
      </c>
      <c r="X91" s="527" t="s">
        <v>321</v>
      </c>
      <c r="AB91" s="527" t="s">
        <v>321</v>
      </c>
      <c r="AG91" s="527" t="s">
        <v>321</v>
      </c>
      <c r="AJ91" s="527" t="s">
        <v>321</v>
      </c>
      <c r="AM91" s="527" t="s">
        <v>321</v>
      </c>
      <c r="AO91" s="529"/>
      <c r="AP91" s="551"/>
    </row>
    <row r="92" ht="15.75" customHeight="1">
      <c r="A92" s="505"/>
      <c r="B92" s="530"/>
      <c r="E92" s="531"/>
      <c r="I92" s="531"/>
      <c r="K92" s="531"/>
      <c r="M92" s="531"/>
      <c r="O92" s="531"/>
      <c r="Q92" s="554"/>
      <c r="X92" s="531"/>
      <c r="AB92" s="531"/>
      <c r="AG92" s="531"/>
      <c r="AJ92" s="531"/>
      <c r="AM92" s="531"/>
      <c r="AO92" s="533"/>
      <c r="AP92" s="551"/>
    </row>
    <row r="93" ht="15.75" customHeight="1">
      <c r="A93" s="505"/>
      <c r="B93" s="526"/>
      <c r="E93" s="527"/>
      <c r="I93" s="527"/>
      <c r="K93" s="527"/>
      <c r="M93" s="527"/>
      <c r="O93" s="527"/>
      <c r="Q93" s="555"/>
      <c r="X93" s="527"/>
      <c r="AB93" s="527"/>
      <c r="AG93" s="527"/>
      <c r="AJ93" s="527"/>
      <c r="AM93" s="527"/>
      <c r="AO93" s="529"/>
      <c r="AP93" s="551"/>
    </row>
    <row r="94" ht="15.75" customHeight="1">
      <c r="A94" s="505"/>
      <c r="B94" s="530"/>
      <c r="E94" s="531"/>
      <c r="I94" s="531"/>
      <c r="K94" s="531"/>
      <c r="M94" s="531"/>
      <c r="O94" s="531"/>
      <c r="Q94" s="554"/>
      <c r="X94" s="531"/>
      <c r="AB94" s="531"/>
      <c r="AG94" s="531"/>
      <c r="AJ94" s="531"/>
      <c r="AM94" s="531"/>
      <c r="AO94" s="533"/>
      <c r="AP94" s="551"/>
    </row>
    <row r="95" ht="15.75" customHeight="1">
      <c r="A95" s="505"/>
      <c r="B95" s="526" t="s">
        <v>188</v>
      </c>
      <c r="E95" s="527" t="s">
        <v>321</v>
      </c>
      <c r="I95" s="527" t="s">
        <v>321</v>
      </c>
      <c r="K95" s="527" t="s">
        <v>590</v>
      </c>
      <c r="M95" s="527" t="s">
        <v>321</v>
      </c>
      <c r="O95" s="527" t="s">
        <v>321</v>
      </c>
      <c r="Q95" s="555" t="s">
        <v>599</v>
      </c>
      <c r="X95" s="527" t="s">
        <v>592</v>
      </c>
      <c r="AB95" s="527" t="s">
        <v>321</v>
      </c>
      <c r="AG95" s="527" t="s">
        <v>562</v>
      </c>
      <c r="AJ95" s="527" t="s">
        <v>27</v>
      </c>
      <c r="AM95" s="527" t="s">
        <v>321</v>
      </c>
      <c r="AO95" s="529"/>
      <c r="AP95" s="551">
        <f>if(isnumber(find(lower($B95),lower(concatenate(v2.1!$AR$6:$AR$15)))),vlookup($B95,v2.1!$AR$6:$AT$15,3,false),0)</f>
        <v>0</v>
      </c>
    </row>
    <row r="96" ht="15.75" customHeight="1">
      <c r="A96" s="505"/>
      <c r="B96" s="530"/>
      <c r="E96" s="531"/>
      <c r="I96" s="531"/>
      <c r="K96" s="531"/>
      <c r="M96" s="531"/>
      <c r="O96" s="531"/>
      <c r="Q96" s="554"/>
      <c r="X96" s="531"/>
      <c r="AB96" s="531"/>
      <c r="AG96" s="531"/>
      <c r="AJ96" s="531"/>
      <c r="AM96" s="531"/>
      <c r="AO96" s="533"/>
      <c r="AP96" s="551"/>
    </row>
    <row r="97" ht="15.75" customHeight="1">
      <c r="A97" s="505"/>
      <c r="B97" s="526"/>
      <c r="E97" s="527"/>
      <c r="I97" s="527"/>
      <c r="K97" s="527"/>
      <c r="M97" s="527"/>
      <c r="O97" s="527"/>
      <c r="Q97" s="555"/>
      <c r="X97" s="527"/>
      <c r="AB97" s="527"/>
      <c r="AG97" s="527"/>
      <c r="AJ97" s="527"/>
      <c r="AM97" s="527"/>
      <c r="AO97" s="529"/>
      <c r="AP97" s="551"/>
    </row>
    <row r="98" ht="15.75" customHeight="1">
      <c r="A98" s="505"/>
      <c r="B98" s="530"/>
      <c r="E98" s="531"/>
      <c r="I98" s="531"/>
      <c r="K98" s="531"/>
      <c r="M98" s="531"/>
      <c r="O98" s="531"/>
      <c r="Q98" s="554"/>
      <c r="X98" s="531"/>
      <c r="AB98" s="531"/>
      <c r="AG98" s="531"/>
      <c r="AJ98" s="531"/>
      <c r="AM98" s="531"/>
      <c r="AO98" s="533"/>
      <c r="AP98" s="551"/>
    </row>
    <row r="99" ht="15.75" customHeight="1">
      <c r="A99" s="505"/>
      <c r="B99" s="526"/>
      <c r="E99" s="527"/>
      <c r="I99" s="527"/>
      <c r="K99" s="527"/>
      <c r="M99" s="527"/>
      <c r="O99" s="527"/>
      <c r="Q99" s="555"/>
      <c r="X99" s="527"/>
      <c r="AB99" s="527"/>
      <c r="AG99" s="527"/>
      <c r="AJ99" s="527"/>
      <c r="AM99" s="527"/>
      <c r="AO99" s="529"/>
      <c r="AP99" s="551"/>
    </row>
    <row r="100" ht="15.75" customHeight="1">
      <c r="A100" s="505"/>
      <c r="B100" s="530"/>
      <c r="E100" s="531"/>
      <c r="I100" s="531"/>
      <c r="K100" s="531"/>
      <c r="M100" s="531"/>
      <c r="O100" s="531"/>
      <c r="Q100" s="554"/>
      <c r="X100" s="531"/>
      <c r="AB100" s="531"/>
      <c r="AG100" s="531"/>
      <c r="AJ100" s="531"/>
      <c r="AM100" s="531"/>
      <c r="AO100" s="533"/>
      <c r="AP100" s="551"/>
    </row>
    <row r="101" ht="15.75" customHeight="1">
      <c r="A101" s="505"/>
      <c r="B101" s="526" t="s">
        <v>188</v>
      </c>
      <c r="E101" s="527" t="s">
        <v>600</v>
      </c>
      <c r="I101" s="527" t="s">
        <v>321</v>
      </c>
      <c r="K101" s="527" t="s">
        <v>321</v>
      </c>
      <c r="M101" s="527" t="s">
        <v>321</v>
      </c>
      <c r="O101" s="527" t="s">
        <v>321</v>
      </c>
      <c r="Q101" s="555" t="s">
        <v>321</v>
      </c>
      <c r="X101" s="527" t="s">
        <v>321</v>
      </c>
      <c r="AB101" s="527" t="s">
        <v>321</v>
      </c>
      <c r="AG101" s="527" t="s">
        <v>321</v>
      </c>
      <c r="AJ101" s="527" t="s">
        <v>321</v>
      </c>
      <c r="AM101" s="527" t="s">
        <v>321</v>
      </c>
      <c r="AO101" s="529"/>
      <c r="AP101" s="551"/>
    </row>
    <row r="102" ht="15.75" customHeight="1">
      <c r="A102" s="505"/>
      <c r="B102" s="530"/>
      <c r="E102" s="531"/>
      <c r="I102" s="531"/>
      <c r="K102" s="531"/>
      <c r="M102" s="531"/>
      <c r="O102" s="531"/>
      <c r="Q102" s="554"/>
      <c r="X102" s="531"/>
      <c r="AB102" s="531"/>
      <c r="AG102" s="531"/>
      <c r="AJ102" s="531"/>
      <c r="AM102" s="531"/>
      <c r="AO102" s="533"/>
      <c r="AP102" s="551"/>
    </row>
    <row r="103" ht="15.75" customHeight="1">
      <c r="A103" s="505"/>
      <c r="B103" s="526"/>
      <c r="E103" s="527"/>
      <c r="I103" s="527"/>
      <c r="K103" s="527"/>
      <c r="M103" s="527"/>
      <c r="O103" s="527"/>
      <c r="Q103" s="555"/>
      <c r="X103" s="527"/>
      <c r="AB103" s="527"/>
      <c r="AG103" s="527"/>
      <c r="AJ103" s="527"/>
      <c r="AM103" s="527"/>
      <c r="AO103" s="529"/>
      <c r="AP103" s="551"/>
    </row>
    <row r="104" ht="15.75" customHeight="1">
      <c r="A104" s="505"/>
      <c r="B104" s="530"/>
      <c r="E104" s="531"/>
      <c r="I104" s="531"/>
      <c r="K104" s="531"/>
      <c r="M104" s="531"/>
      <c r="O104" s="531"/>
      <c r="Q104" s="554"/>
      <c r="X104" s="531"/>
      <c r="AB104" s="531"/>
      <c r="AG104" s="531"/>
      <c r="AJ104" s="531"/>
      <c r="AM104" s="531"/>
      <c r="AO104" s="533"/>
      <c r="AP104" s="551"/>
    </row>
    <row r="105" ht="15.75" customHeight="1">
      <c r="A105" s="505"/>
      <c r="B105" s="526"/>
      <c r="E105" s="527"/>
      <c r="I105" s="527"/>
      <c r="K105" s="527"/>
      <c r="M105" s="559"/>
      <c r="O105" s="527"/>
      <c r="Q105" s="555"/>
      <c r="X105" s="527"/>
      <c r="AB105" s="527"/>
      <c r="AG105" s="527"/>
      <c r="AJ105" s="527"/>
      <c r="AM105" s="527"/>
      <c r="AO105" s="529"/>
      <c r="AP105" s="551"/>
    </row>
    <row r="106" ht="15.75" customHeight="1">
      <c r="A106" s="505"/>
      <c r="B106" s="530"/>
      <c r="E106" s="531"/>
      <c r="I106" s="531"/>
      <c r="K106" s="531"/>
      <c r="M106" s="531"/>
      <c r="O106" s="531"/>
      <c r="Q106" s="535" t="s">
        <v>601</v>
      </c>
      <c r="X106" s="531"/>
      <c r="AB106" s="531"/>
      <c r="AG106" s="531"/>
      <c r="AJ106" s="531"/>
      <c r="AM106" s="531"/>
      <c r="AO106" s="533"/>
      <c r="AP106" s="551"/>
    </row>
    <row r="107" ht="15.75" customHeight="1">
      <c r="A107" s="505"/>
      <c r="B107" s="526"/>
      <c r="E107" s="527"/>
      <c r="I107" s="527"/>
      <c r="K107" s="527"/>
      <c r="M107" s="527"/>
      <c r="O107" s="527"/>
      <c r="Q107" s="527"/>
      <c r="X107" s="527"/>
      <c r="AB107" s="527"/>
      <c r="AG107" s="527"/>
      <c r="AJ107" s="527"/>
      <c r="AM107" s="527"/>
      <c r="AO107" s="529"/>
      <c r="AP107" s="551"/>
    </row>
    <row r="108" ht="15.75" customHeight="1">
      <c r="A108" s="505"/>
      <c r="B108" s="530"/>
      <c r="E108" s="531"/>
      <c r="I108" s="531"/>
      <c r="K108" s="531"/>
      <c r="M108" s="531"/>
      <c r="O108" s="531"/>
      <c r="Q108" s="531"/>
      <c r="X108" s="531"/>
      <c r="AB108" s="531"/>
      <c r="AG108" s="531"/>
      <c r="AJ108" s="531"/>
      <c r="AM108" s="531"/>
      <c r="AO108" s="533"/>
      <c r="AP108" s="551"/>
    </row>
    <row r="109" ht="15.75" customHeight="1">
      <c r="A109" s="505"/>
      <c r="B109" s="526"/>
      <c r="E109" s="527"/>
      <c r="I109" s="527"/>
      <c r="K109" s="527"/>
      <c r="M109" s="527"/>
      <c r="O109" s="527"/>
      <c r="Q109" s="527"/>
      <c r="X109" s="527"/>
      <c r="AB109" s="527"/>
      <c r="AG109" s="527"/>
      <c r="AJ109" s="527"/>
      <c r="AM109" s="527"/>
      <c r="AO109" s="529"/>
      <c r="AP109" s="551"/>
    </row>
    <row r="110" ht="15.75" customHeight="1">
      <c r="A110" s="505"/>
      <c r="B110" s="530"/>
      <c r="E110" s="531"/>
      <c r="I110" s="531"/>
      <c r="K110" s="531"/>
      <c r="M110" s="531"/>
      <c r="O110" s="531"/>
      <c r="Q110" s="531"/>
      <c r="X110" s="531"/>
      <c r="AB110" s="531"/>
      <c r="AG110" s="531"/>
      <c r="AJ110" s="531"/>
      <c r="AM110" s="531"/>
      <c r="AO110" s="533"/>
      <c r="AP110" s="551"/>
    </row>
    <row r="111" ht="15.75" customHeight="1">
      <c r="A111" s="505"/>
      <c r="B111" s="526"/>
      <c r="E111" s="527"/>
      <c r="I111" s="527"/>
      <c r="K111" s="527"/>
      <c r="M111" s="527"/>
      <c r="O111" s="527"/>
      <c r="Q111" s="527"/>
      <c r="X111" s="527"/>
      <c r="AB111" s="527"/>
      <c r="AG111" s="527"/>
      <c r="AJ111" s="527"/>
      <c r="AM111" s="527"/>
      <c r="AO111" s="529"/>
      <c r="AP111" s="551"/>
    </row>
    <row r="112" ht="15.75" customHeight="1">
      <c r="A112" s="505"/>
      <c r="B112" s="530"/>
      <c r="E112" s="531"/>
      <c r="I112" s="531"/>
      <c r="K112" s="531"/>
      <c r="M112" s="531"/>
      <c r="O112" s="531"/>
      <c r="Q112" s="531"/>
      <c r="X112" s="531"/>
      <c r="AB112" s="531"/>
      <c r="AG112" s="531"/>
      <c r="AJ112" s="531"/>
      <c r="AM112" s="531"/>
      <c r="AO112" s="533"/>
      <c r="AP112" s="551"/>
    </row>
    <row r="113" ht="15.75" customHeight="1">
      <c r="A113" s="505"/>
      <c r="B113" s="526"/>
      <c r="E113" s="527"/>
      <c r="I113" s="527"/>
      <c r="K113" s="527"/>
      <c r="M113" s="527"/>
      <c r="O113" s="527"/>
      <c r="Q113" s="527"/>
      <c r="X113" s="527"/>
      <c r="AB113" s="527"/>
      <c r="AG113" s="527"/>
      <c r="AJ113" s="527"/>
      <c r="AM113" s="527"/>
      <c r="AO113" s="529"/>
      <c r="AP113" s="551"/>
    </row>
    <row r="114" ht="15.75" customHeight="1">
      <c r="A114" s="505"/>
      <c r="B114" s="530"/>
      <c r="E114" s="531"/>
      <c r="I114" s="531"/>
      <c r="K114" s="531"/>
      <c r="M114" s="531"/>
      <c r="O114" s="531"/>
      <c r="Q114" s="531"/>
      <c r="X114" s="531"/>
      <c r="AB114" s="531"/>
      <c r="AG114" s="531"/>
      <c r="AJ114" s="531"/>
      <c r="AM114" s="531"/>
      <c r="AO114" s="533"/>
      <c r="AP114" s="551"/>
    </row>
    <row r="115" ht="15.75" customHeight="1">
      <c r="A115" s="505"/>
      <c r="B115" s="526"/>
      <c r="E115" s="527"/>
      <c r="I115" s="527"/>
      <c r="K115" s="527"/>
      <c r="M115" s="527"/>
      <c r="O115" s="527"/>
      <c r="Q115" s="527"/>
      <c r="X115" s="527"/>
      <c r="AB115" s="527"/>
      <c r="AG115" s="527"/>
      <c r="AJ115" s="527"/>
      <c r="AM115" s="527"/>
      <c r="AO115" s="529"/>
      <c r="AP115" s="551"/>
    </row>
    <row r="116" ht="15.75" customHeight="1">
      <c r="A116" s="505"/>
      <c r="B116" s="530"/>
      <c r="E116" s="531"/>
      <c r="I116" s="531"/>
      <c r="K116" s="531"/>
      <c r="M116" s="531"/>
      <c r="O116" s="531"/>
      <c r="Q116" s="531"/>
      <c r="X116" s="531"/>
      <c r="AB116" s="531"/>
      <c r="AG116" s="531"/>
      <c r="AJ116" s="531"/>
      <c r="AM116" s="531"/>
      <c r="AO116" s="533"/>
      <c r="AP116" s="551"/>
    </row>
    <row r="117" ht="15.75" customHeight="1">
      <c r="A117" s="505"/>
      <c r="B117" s="526"/>
      <c r="E117" s="527"/>
      <c r="I117" s="527"/>
      <c r="K117" s="527"/>
      <c r="M117" s="527"/>
      <c r="O117" s="527"/>
      <c r="Q117" s="527"/>
      <c r="X117" s="527"/>
      <c r="AB117" s="527"/>
      <c r="AG117" s="527"/>
      <c r="AJ117" s="527"/>
      <c r="AM117" s="527"/>
      <c r="AO117" s="529"/>
      <c r="AP117" s="551"/>
    </row>
    <row r="118" ht="15.75" customHeight="1">
      <c r="A118" s="505"/>
      <c r="B118" s="530"/>
      <c r="E118" s="531"/>
      <c r="I118" s="531"/>
      <c r="K118" s="531"/>
      <c r="M118" s="531"/>
      <c r="O118" s="531"/>
      <c r="Q118" s="531"/>
      <c r="X118" s="531"/>
      <c r="AB118" s="531"/>
      <c r="AG118" s="531"/>
      <c r="AJ118" s="531"/>
      <c r="AM118" s="531"/>
      <c r="AO118" s="533"/>
      <c r="AP118" s="551"/>
    </row>
    <row r="119" ht="15.75" customHeight="1">
      <c r="A119" s="505"/>
      <c r="B119" s="526"/>
      <c r="E119" s="527"/>
      <c r="I119" s="527"/>
      <c r="K119" s="527"/>
      <c r="M119" s="527"/>
      <c r="O119" s="527"/>
      <c r="Q119" s="527"/>
      <c r="X119" s="527"/>
      <c r="AB119" s="527"/>
      <c r="AG119" s="527"/>
      <c r="AJ119" s="527"/>
      <c r="AM119" s="527"/>
      <c r="AO119" s="529"/>
      <c r="AP119" s="551"/>
    </row>
    <row r="120" ht="15.75" customHeight="1">
      <c r="A120" s="505"/>
      <c r="B120" s="530"/>
      <c r="E120" s="531"/>
      <c r="I120" s="531"/>
      <c r="K120" s="531"/>
      <c r="M120" s="531"/>
      <c r="O120" s="531"/>
      <c r="Q120" s="531"/>
      <c r="X120" s="531"/>
      <c r="AB120" s="531"/>
      <c r="AG120" s="531"/>
      <c r="AJ120" s="531"/>
      <c r="AM120" s="531"/>
      <c r="AO120" s="533"/>
      <c r="AP120" s="551"/>
    </row>
    <row r="121" ht="15.75" customHeight="1">
      <c r="A121" s="505"/>
      <c r="B121" s="526"/>
      <c r="E121" s="527"/>
      <c r="I121" s="527"/>
      <c r="K121" s="527"/>
      <c r="M121" s="527"/>
      <c r="O121" s="527"/>
      <c r="Q121" s="527"/>
      <c r="X121" s="527"/>
      <c r="AB121" s="527"/>
      <c r="AG121" s="527"/>
      <c r="AJ121" s="527"/>
      <c r="AM121" s="527"/>
      <c r="AO121" s="529"/>
      <c r="AP121" s="551"/>
    </row>
    <row r="122" ht="15.75" customHeight="1">
      <c r="A122" s="505"/>
      <c r="B122" s="530"/>
      <c r="E122" s="531"/>
      <c r="I122" s="531"/>
      <c r="K122" s="531"/>
      <c r="M122" s="531"/>
      <c r="O122" s="531"/>
      <c r="Q122" s="531"/>
      <c r="X122" s="531"/>
      <c r="AB122" s="531"/>
      <c r="AG122" s="531"/>
      <c r="AJ122" s="531"/>
      <c r="AM122" s="531"/>
      <c r="AO122" s="533"/>
      <c r="AP122" s="551"/>
    </row>
    <row r="123" ht="15.75" customHeight="1">
      <c r="A123" s="505"/>
      <c r="B123" s="526"/>
      <c r="E123" s="527"/>
      <c r="I123" s="527"/>
      <c r="K123" s="527"/>
      <c r="M123" s="527"/>
      <c r="O123" s="527"/>
      <c r="Q123" s="527"/>
      <c r="X123" s="527"/>
      <c r="AB123" s="527"/>
      <c r="AG123" s="527"/>
      <c r="AJ123" s="527"/>
      <c r="AM123" s="527"/>
      <c r="AO123" s="529"/>
      <c r="AP123" s="551"/>
    </row>
    <row r="124" ht="15.75" customHeight="1">
      <c r="A124" s="505"/>
      <c r="B124" s="530"/>
      <c r="E124" s="531"/>
      <c r="I124" s="531"/>
      <c r="K124" s="531"/>
      <c r="M124" s="531"/>
      <c r="O124" s="531"/>
      <c r="Q124" s="531"/>
      <c r="X124" s="531"/>
      <c r="AB124" s="531"/>
      <c r="AG124" s="531"/>
      <c r="AJ124" s="531"/>
      <c r="AM124" s="531"/>
      <c r="AO124" s="533"/>
      <c r="AP124" s="551"/>
    </row>
    <row r="125" ht="15.75" customHeight="1">
      <c r="A125" s="505"/>
      <c r="B125" s="526"/>
      <c r="E125" s="527"/>
      <c r="I125" s="527"/>
      <c r="K125" s="527"/>
      <c r="M125" s="527"/>
      <c r="O125" s="527"/>
      <c r="Q125" s="527"/>
      <c r="X125" s="527"/>
      <c r="AB125" s="527"/>
      <c r="AG125" s="527"/>
      <c r="AJ125" s="527"/>
      <c r="AM125" s="527"/>
      <c r="AO125" s="529"/>
      <c r="AP125" s="551"/>
    </row>
    <row r="126" ht="15.75" customHeight="1">
      <c r="A126" s="505"/>
      <c r="B126" s="530"/>
      <c r="E126" s="531"/>
      <c r="I126" s="531"/>
      <c r="K126" s="531"/>
      <c r="M126" s="531"/>
      <c r="O126" s="531"/>
      <c r="Q126" s="531"/>
      <c r="X126" s="531"/>
      <c r="AB126" s="531"/>
      <c r="AG126" s="531"/>
      <c r="AJ126" s="531"/>
      <c r="AM126" s="531"/>
      <c r="AO126" s="533"/>
      <c r="AP126" s="551"/>
    </row>
    <row r="127" ht="15.75" customHeight="1">
      <c r="A127" s="505"/>
      <c r="B127" s="526"/>
      <c r="E127" s="527"/>
      <c r="I127" s="527"/>
      <c r="K127" s="527"/>
      <c r="M127" s="527"/>
      <c r="O127" s="527"/>
      <c r="Q127" s="527"/>
      <c r="X127" s="527"/>
      <c r="AB127" s="527"/>
      <c r="AG127" s="527"/>
      <c r="AJ127" s="527"/>
      <c r="AM127" s="527"/>
      <c r="AO127" s="529"/>
      <c r="AP127" s="551"/>
    </row>
    <row r="128" ht="15.75" customHeight="1">
      <c r="A128" s="505"/>
      <c r="B128" s="530"/>
      <c r="E128" s="531"/>
      <c r="I128" s="531"/>
      <c r="K128" s="531"/>
      <c r="M128" s="531"/>
      <c r="O128" s="531"/>
      <c r="Q128" s="531"/>
      <c r="X128" s="531"/>
      <c r="AB128" s="531"/>
      <c r="AG128" s="531"/>
      <c r="AJ128" s="531"/>
      <c r="AM128" s="531"/>
      <c r="AO128" s="533"/>
      <c r="AP128" s="551"/>
    </row>
    <row r="129" ht="15.75" customHeight="1">
      <c r="A129" s="505"/>
      <c r="B129" s="526"/>
      <c r="E129" s="527"/>
      <c r="I129" s="527"/>
      <c r="K129" s="527"/>
      <c r="M129" s="527"/>
      <c r="O129" s="527"/>
      <c r="Q129" s="527"/>
      <c r="X129" s="527"/>
      <c r="AB129" s="527"/>
      <c r="AG129" s="527"/>
      <c r="AJ129" s="527"/>
      <c r="AM129" s="527"/>
      <c r="AO129" s="529"/>
      <c r="AP129" s="551"/>
    </row>
    <row r="130" ht="15.75" customHeight="1">
      <c r="A130" s="505"/>
      <c r="B130" s="530"/>
      <c r="E130" s="531"/>
      <c r="I130" s="531"/>
      <c r="K130" s="531"/>
      <c r="M130" s="531"/>
      <c r="O130" s="531"/>
      <c r="Q130" s="531"/>
      <c r="X130" s="531"/>
      <c r="AB130" s="531"/>
      <c r="AG130" s="531"/>
      <c r="AJ130" s="531"/>
      <c r="AM130" s="531"/>
      <c r="AO130" s="533"/>
      <c r="AP130" s="551"/>
    </row>
    <row r="131" ht="15.75" customHeight="1">
      <c r="A131" s="505"/>
      <c r="B131" s="526"/>
      <c r="E131" s="527"/>
      <c r="I131" s="527"/>
      <c r="K131" s="527"/>
      <c r="M131" s="527"/>
      <c r="O131" s="527"/>
      <c r="Q131" s="527"/>
      <c r="X131" s="527"/>
      <c r="AB131" s="527"/>
      <c r="AG131" s="527"/>
      <c r="AJ131" s="527"/>
      <c r="AM131" s="527"/>
      <c r="AO131" s="529"/>
      <c r="AP131" s="551"/>
    </row>
    <row r="132" ht="15.75" customHeight="1">
      <c r="A132" s="505"/>
      <c r="B132" s="530"/>
      <c r="E132" s="531"/>
      <c r="I132" s="531"/>
      <c r="K132" s="531"/>
      <c r="M132" s="531"/>
      <c r="O132" s="531"/>
      <c r="Q132" s="531"/>
      <c r="X132" s="531"/>
      <c r="AB132" s="531"/>
      <c r="AG132" s="531"/>
      <c r="AJ132" s="531"/>
      <c r="AM132" s="531"/>
      <c r="AO132" s="533"/>
      <c r="AP132" s="551"/>
    </row>
    <row r="133" ht="15.75" customHeight="1">
      <c r="A133" s="505"/>
      <c r="B133" s="526"/>
      <c r="E133" s="527"/>
      <c r="I133" s="527"/>
      <c r="K133" s="527"/>
      <c r="M133" s="527"/>
      <c r="O133" s="527"/>
      <c r="Q133" s="527"/>
      <c r="X133" s="527"/>
      <c r="AB133" s="527"/>
      <c r="AG133" s="527"/>
      <c r="AJ133" s="527"/>
      <c r="AM133" s="527"/>
      <c r="AO133" s="529"/>
      <c r="AP133" s="551"/>
    </row>
    <row r="134" ht="15.75" customHeight="1">
      <c r="A134" s="505"/>
      <c r="B134" s="530"/>
      <c r="E134" s="531"/>
      <c r="I134" s="531"/>
      <c r="K134" s="531"/>
      <c r="M134" s="531"/>
      <c r="O134" s="531"/>
      <c r="Q134" s="531"/>
      <c r="X134" s="531"/>
      <c r="AB134" s="531"/>
      <c r="AG134" s="531"/>
      <c r="AJ134" s="531"/>
      <c r="AM134" s="531"/>
      <c r="AO134" s="533"/>
      <c r="AP134" s="551"/>
    </row>
    <row r="135" ht="15.75" customHeight="1">
      <c r="A135" s="505"/>
      <c r="B135" s="526"/>
      <c r="E135" s="527"/>
      <c r="I135" s="527"/>
      <c r="K135" s="527"/>
      <c r="M135" s="527"/>
      <c r="O135" s="527"/>
      <c r="Q135" s="527"/>
      <c r="X135" s="527"/>
      <c r="AB135" s="527"/>
      <c r="AG135" s="527"/>
      <c r="AJ135" s="527"/>
      <c r="AM135" s="527"/>
      <c r="AO135" s="529"/>
      <c r="AP135" s="551"/>
    </row>
    <row r="136" ht="15.75" customHeight="1">
      <c r="A136" s="505"/>
      <c r="B136" s="530"/>
      <c r="E136" s="531"/>
      <c r="I136" s="531"/>
      <c r="K136" s="531"/>
      <c r="M136" s="531"/>
      <c r="O136" s="531"/>
      <c r="Q136" s="531"/>
      <c r="X136" s="531"/>
      <c r="AB136" s="531"/>
      <c r="AG136" s="531"/>
      <c r="AJ136" s="531"/>
      <c r="AM136" s="531"/>
      <c r="AO136" s="533"/>
      <c r="AP136" s="551"/>
    </row>
    <row r="137" ht="15.75" customHeight="1">
      <c r="A137" s="505"/>
      <c r="B137" s="526"/>
      <c r="E137" s="527"/>
      <c r="I137" s="527"/>
      <c r="K137" s="527"/>
      <c r="M137" s="527"/>
      <c r="O137" s="527"/>
      <c r="Q137" s="527"/>
      <c r="X137" s="527"/>
      <c r="AB137" s="527"/>
      <c r="AG137" s="527"/>
      <c r="AJ137" s="527"/>
      <c r="AM137" s="527"/>
      <c r="AO137" s="529"/>
      <c r="AP137" s="551"/>
    </row>
    <row r="138" ht="15.75" customHeight="1">
      <c r="A138" s="505"/>
      <c r="B138" s="530"/>
      <c r="E138" s="531"/>
      <c r="I138" s="531"/>
      <c r="K138" s="531"/>
      <c r="M138" s="531"/>
      <c r="O138" s="531"/>
      <c r="Q138" s="531"/>
      <c r="X138" s="531"/>
      <c r="AB138" s="531"/>
      <c r="AG138" s="531"/>
      <c r="AJ138" s="531"/>
      <c r="AM138" s="531"/>
      <c r="AO138" s="533"/>
      <c r="AP138" s="551"/>
    </row>
    <row r="139" ht="15.75" customHeight="1">
      <c r="A139" s="505"/>
      <c r="B139" s="526"/>
      <c r="E139" s="527"/>
      <c r="I139" s="527"/>
      <c r="K139" s="527"/>
      <c r="M139" s="527"/>
      <c r="O139" s="527"/>
      <c r="Q139" s="527"/>
      <c r="X139" s="527"/>
      <c r="AB139" s="527"/>
      <c r="AG139" s="527"/>
      <c r="AJ139" s="527"/>
      <c r="AM139" s="527"/>
      <c r="AO139" s="529"/>
      <c r="AP139" s="551"/>
    </row>
    <row r="140" ht="15.75" customHeight="1">
      <c r="A140" s="505"/>
      <c r="B140" s="530"/>
      <c r="E140" s="531"/>
      <c r="I140" s="531"/>
      <c r="K140" s="531"/>
      <c r="M140" s="531"/>
      <c r="O140" s="531"/>
      <c r="Q140" s="531"/>
      <c r="X140" s="531"/>
      <c r="AB140" s="531"/>
      <c r="AG140" s="531"/>
      <c r="AJ140" s="531"/>
      <c r="AM140" s="531"/>
      <c r="AO140" s="533"/>
      <c r="AP140" s="551"/>
    </row>
    <row r="141" ht="15.75" customHeight="1">
      <c r="A141" s="505"/>
      <c r="B141" s="526"/>
      <c r="E141" s="527"/>
      <c r="I141" s="527"/>
      <c r="K141" s="527"/>
      <c r="M141" s="527"/>
      <c r="O141" s="527"/>
      <c r="Q141" s="527"/>
      <c r="X141" s="527"/>
      <c r="AB141" s="527"/>
      <c r="AG141" s="527"/>
      <c r="AJ141" s="527"/>
      <c r="AM141" s="527"/>
      <c r="AO141" s="529"/>
      <c r="AP141" s="551"/>
    </row>
    <row r="142" ht="15.75" customHeight="1">
      <c r="A142" s="505"/>
      <c r="B142" s="530"/>
      <c r="E142" s="531"/>
      <c r="I142" s="531"/>
      <c r="K142" s="531"/>
      <c r="M142" s="531"/>
      <c r="O142" s="531"/>
      <c r="Q142" s="531"/>
      <c r="X142" s="531"/>
      <c r="AB142" s="531"/>
      <c r="AG142" s="531"/>
      <c r="AJ142" s="531"/>
      <c r="AM142" s="531"/>
      <c r="AO142" s="533"/>
      <c r="AP142" s="551"/>
    </row>
    <row r="143" ht="15.75" customHeight="1">
      <c r="A143" s="505"/>
      <c r="B143" s="526"/>
      <c r="E143" s="527"/>
      <c r="I143" s="527"/>
      <c r="K143" s="527"/>
      <c r="M143" s="527"/>
      <c r="O143" s="527"/>
      <c r="Q143" s="527"/>
      <c r="X143" s="527"/>
      <c r="AB143" s="527"/>
      <c r="AG143" s="527"/>
      <c r="AJ143" s="527"/>
      <c r="AM143" s="527"/>
      <c r="AO143" s="529"/>
      <c r="AP143" s="551"/>
    </row>
    <row r="144" ht="15.75" customHeight="1">
      <c r="A144" s="505"/>
      <c r="B144" s="530"/>
      <c r="E144" s="531"/>
      <c r="I144" s="531"/>
      <c r="K144" s="531"/>
      <c r="M144" s="531"/>
      <c r="O144" s="531"/>
      <c r="Q144" s="531"/>
      <c r="X144" s="531"/>
      <c r="AB144" s="531"/>
      <c r="AG144" s="531"/>
      <c r="AJ144" s="531"/>
      <c r="AM144" s="531"/>
      <c r="AO144" s="533"/>
      <c r="AP144" s="551"/>
    </row>
    <row r="145" ht="15.75" customHeight="1">
      <c r="A145" s="505"/>
      <c r="B145" s="526"/>
      <c r="E145" s="527"/>
      <c r="I145" s="527"/>
      <c r="K145" s="527"/>
      <c r="M145" s="527"/>
      <c r="O145" s="527"/>
      <c r="Q145" s="527"/>
      <c r="X145" s="527"/>
      <c r="AB145" s="527"/>
      <c r="AG145" s="527"/>
      <c r="AJ145" s="527"/>
      <c r="AM145" s="527"/>
      <c r="AO145" s="529"/>
      <c r="AP145" s="551"/>
    </row>
    <row r="146" ht="15.75" customHeight="1">
      <c r="A146" s="505"/>
      <c r="B146" s="530"/>
      <c r="E146" s="531"/>
      <c r="I146" s="531"/>
      <c r="K146" s="531"/>
      <c r="M146" s="531"/>
      <c r="O146" s="531"/>
      <c r="Q146" s="531"/>
      <c r="X146" s="531"/>
      <c r="AB146" s="531"/>
      <c r="AG146" s="531"/>
      <c r="AJ146" s="531"/>
      <c r="AM146" s="531"/>
      <c r="AO146" s="533"/>
      <c r="AP146" s="551"/>
    </row>
    <row r="147" ht="15.75" customHeight="1">
      <c r="A147" s="505"/>
      <c r="B147" s="526"/>
      <c r="E147" s="527"/>
      <c r="I147" s="527"/>
      <c r="K147" s="527"/>
      <c r="M147" s="527"/>
      <c r="O147" s="527"/>
      <c r="Q147" s="527"/>
      <c r="X147" s="527"/>
      <c r="AB147" s="527"/>
      <c r="AG147" s="527"/>
      <c r="AJ147" s="527"/>
      <c r="AM147" s="527"/>
      <c r="AO147" s="529"/>
      <c r="AP147" s="551"/>
    </row>
    <row r="148" ht="15.75" customHeight="1">
      <c r="A148" s="505"/>
      <c r="B148" s="530"/>
      <c r="E148" s="531"/>
      <c r="I148" s="531"/>
      <c r="K148" s="531"/>
      <c r="M148" s="531"/>
      <c r="O148" s="531"/>
      <c r="Q148" s="531"/>
      <c r="X148" s="531"/>
      <c r="AB148" s="531"/>
      <c r="AG148" s="531"/>
      <c r="AJ148" s="531"/>
      <c r="AM148" s="531"/>
      <c r="AO148" s="533"/>
      <c r="AP148" s="551"/>
    </row>
    <row r="149" ht="15.75" customHeight="1">
      <c r="A149" s="505"/>
      <c r="B149" s="526"/>
      <c r="E149" s="527"/>
      <c r="I149" s="527"/>
      <c r="K149" s="527"/>
      <c r="M149" s="527"/>
      <c r="O149" s="527"/>
      <c r="Q149" s="527"/>
      <c r="X149" s="527"/>
      <c r="AB149" s="527"/>
      <c r="AG149" s="527"/>
      <c r="AJ149" s="527"/>
      <c r="AM149" s="527"/>
      <c r="AO149" s="529"/>
      <c r="AP149" s="551"/>
    </row>
    <row r="150" ht="15.75" customHeight="1">
      <c r="A150" s="505"/>
      <c r="B150" s="530"/>
      <c r="E150" s="531"/>
      <c r="I150" s="531"/>
      <c r="K150" s="531"/>
      <c r="M150" s="531"/>
      <c r="O150" s="531"/>
      <c r="Q150" s="531"/>
      <c r="X150" s="531"/>
      <c r="AB150" s="531"/>
      <c r="AG150" s="531"/>
      <c r="AJ150" s="531"/>
      <c r="AM150" s="531"/>
      <c r="AO150" s="533"/>
      <c r="AP150" s="551"/>
    </row>
    <row r="151" ht="15.75" customHeight="1">
      <c r="A151" s="505"/>
      <c r="B151" s="526"/>
      <c r="E151" s="527"/>
      <c r="I151" s="527"/>
      <c r="K151" s="527"/>
      <c r="M151" s="527"/>
      <c r="O151" s="527"/>
      <c r="Q151" s="527"/>
      <c r="X151" s="527"/>
      <c r="AB151" s="527"/>
      <c r="AG151" s="527"/>
      <c r="AJ151" s="527"/>
      <c r="AM151" s="527"/>
      <c r="AO151" s="529"/>
      <c r="AP151" s="551"/>
    </row>
    <row r="152" ht="15.75" customHeight="1">
      <c r="A152" s="505"/>
      <c r="B152" s="530"/>
      <c r="E152" s="531"/>
      <c r="I152" s="531"/>
      <c r="K152" s="531"/>
      <c r="M152" s="531"/>
      <c r="O152" s="531"/>
      <c r="Q152" s="531"/>
      <c r="X152" s="531"/>
      <c r="AB152" s="531"/>
      <c r="AG152" s="531"/>
      <c r="AJ152" s="531"/>
      <c r="AM152" s="531"/>
      <c r="AO152" s="533"/>
      <c r="AP152" s="551"/>
    </row>
    <row r="153" ht="15.75" customHeight="1">
      <c r="A153" s="505"/>
      <c r="B153" s="526"/>
      <c r="E153" s="527"/>
      <c r="I153" s="527"/>
      <c r="K153" s="527"/>
      <c r="M153" s="527"/>
      <c r="O153" s="527"/>
      <c r="Q153" s="527"/>
      <c r="X153" s="527"/>
      <c r="AB153" s="527"/>
      <c r="AG153" s="527"/>
      <c r="AJ153" s="527"/>
      <c r="AM153" s="527"/>
      <c r="AO153" s="529"/>
      <c r="AP153" s="551"/>
    </row>
    <row r="154" ht="15.75" customHeight="1">
      <c r="A154" s="505"/>
      <c r="B154" s="530"/>
      <c r="E154" s="531"/>
      <c r="I154" s="531"/>
      <c r="K154" s="531"/>
      <c r="M154" s="531"/>
      <c r="O154" s="531"/>
      <c r="Q154" s="531"/>
      <c r="X154" s="531"/>
      <c r="AB154" s="531"/>
      <c r="AG154" s="531"/>
      <c r="AJ154" s="531"/>
      <c r="AM154" s="531"/>
      <c r="AO154" s="533"/>
      <c r="AP154" s="551"/>
    </row>
    <row r="155" ht="15.75" customHeight="1">
      <c r="A155" s="505"/>
      <c r="B155" s="526"/>
      <c r="E155" s="527"/>
      <c r="I155" s="527"/>
      <c r="K155" s="527"/>
      <c r="M155" s="527"/>
      <c r="O155" s="527"/>
      <c r="Q155" s="527"/>
      <c r="X155" s="527"/>
      <c r="AB155" s="527"/>
      <c r="AG155" s="527"/>
      <c r="AJ155" s="527"/>
      <c r="AM155" s="527"/>
      <c r="AO155" s="529"/>
      <c r="AP155" s="551"/>
    </row>
    <row r="156" ht="15.75" customHeight="1">
      <c r="A156" s="505"/>
      <c r="B156" s="530"/>
      <c r="E156" s="531"/>
      <c r="I156" s="531"/>
      <c r="K156" s="531"/>
      <c r="M156" s="531"/>
      <c r="O156" s="531"/>
      <c r="Q156" s="531"/>
      <c r="X156" s="531"/>
      <c r="AB156" s="531"/>
      <c r="AG156" s="531"/>
      <c r="AJ156" s="531"/>
      <c r="AM156" s="531"/>
      <c r="AO156" s="533"/>
      <c r="AP156" s="551"/>
    </row>
    <row r="157" ht="15.75" customHeight="1">
      <c r="A157" s="505"/>
      <c r="B157" s="526"/>
      <c r="E157" s="527"/>
      <c r="I157" s="527"/>
      <c r="K157" s="527"/>
      <c r="M157" s="527"/>
      <c r="O157" s="527"/>
      <c r="Q157" s="527"/>
      <c r="X157" s="527"/>
      <c r="AB157" s="527"/>
      <c r="AG157" s="527"/>
      <c r="AJ157" s="527"/>
      <c r="AM157" s="527"/>
      <c r="AO157" s="529"/>
      <c r="AP157" s="551"/>
    </row>
    <row r="158" ht="15.75" customHeight="1">
      <c r="A158" s="505"/>
      <c r="B158" s="530"/>
      <c r="E158" s="531"/>
      <c r="I158" s="531"/>
      <c r="K158" s="531"/>
      <c r="M158" s="531"/>
      <c r="O158" s="531"/>
      <c r="Q158" s="531"/>
      <c r="X158" s="531"/>
      <c r="AB158" s="531"/>
      <c r="AG158" s="531"/>
      <c r="AJ158" s="531"/>
      <c r="AM158" s="531"/>
      <c r="AO158" s="533"/>
      <c r="AP158" s="551"/>
    </row>
    <row r="159" ht="15.75" customHeight="1">
      <c r="A159" s="505"/>
      <c r="B159" s="526"/>
      <c r="E159" s="527"/>
      <c r="I159" s="527"/>
      <c r="K159" s="527"/>
      <c r="M159" s="527"/>
      <c r="O159" s="527"/>
      <c r="Q159" s="527"/>
      <c r="X159" s="527"/>
      <c r="AB159" s="527"/>
      <c r="AG159" s="527"/>
      <c r="AJ159" s="527"/>
      <c r="AM159" s="527"/>
      <c r="AO159" s="529"/>
      <c r="AP159" s="551"/>
    </row>
    <row r="160" ht="15.75" customHeight="1">
      <c r="A160" s="505"/>
      <c r="B160" s="530"/>
      <c r="E160" s="531"/>
      <c r="I160" s="531"/>
      <c r="K160" s="531"/>
      <c r="M160" s="531"/>
      <c r="O160" s="531"/>
      <c r="Q160" s="531"/>
      <c r="X160" s="531"/>
      <c r="AB160" s="531"/>
      <c r="AG160" s="531"/>
      <c r="AJ160" s="531"/>
      <c r="AM160" s="531"/>
      <c r="AO160" s="533"/>
      <c r="AP160" s="551"/>
    </row>
    <row r="161" ht="15.75" customHeight="1">
      <c r="A161" s="505"/>
      <c r="B161" s="526"/>
      <c r="E161" s="527"/>
      <c r="I161" s="527"/>
      <c r="K161" s="527"/>
      <c r="M161" s="527"/>
      <c r="O161" s="527"/>
      <c r="Q161" s="527"/>
      <c r="X161" s="527"/>
      <c r="AB161" s="527"/>
      <c r="AG161" s="527"/>
      <c r="AJ161" s="527"/>
      <c r="AM161" s="527"/>
      <c r="AO161" s="529"/>
      <c r="AP161" s="551"/>
    </row>
    <row r="162" ht="15.75" customHeight="1">
      <c r="A162" s="505"/>
      <c r="B162" s="530"/>
      <c r="E162" s="531"/>
      <c r="I162" s="531"/>
      <c r="K162" s="531"/>
      <c r="M162" s="531"/>
      <c r="O162" s="531"/>
      <c r="Q162" s="531"/>
      <c r="X162" s="531"/>
      <c r="AB162" s="531"/>
      <c r="AG162" s="531"/>
      <c r="AJ162" s="531"/>
      <c r="AM162" s="531"/>
      <c r="AO162" s="533"/>
      <c r="AP162" s="551"/>
    </row>
    <row r="163" ht="15.75" customHeight="1">
      <c r="A163" s="505"/>
      <c r="B163" s="526"/>
      <c r="E163" s="527"/>
      <c r="I163" s="527"/>
      <c r="K163" s="527"/>
      <c r="M163" s="527"/>
      <c r="O163" s="527"/>
      <c r="Q163" s="527"/>
      <c r="X163" s="527"/>
      <c r="AB163" s="527"/>
      <c r="AG163" s="527"/>
      <c r="AJ163" s="527"/>
      <c r="AM163" s="527"/>
      <c r="AO163" s="529"/>
      <c r="AP163" s="551"/>
    </row>
    <row r="164" ht="15.75" customHeight="1">
      <c r="A164" s="505"/>
      <c r="B164" s="530"/>
      <c r="E164" s="531"/>
      <c r="I164" s="531"/>
      <c r="K164" s="531"/>
      <c r="M164" s="531"/>
      <c r="O164" s="531"/>
      <c r="Q164" s="531"/>
      <c r="X164" s="531"/>
      <c r="AB164" s="531"/>
      <c r="AG164" s="531"/>
      <c r="AJ164" s="531"/>
      <c r="AM164" s="531"/>
      <c r="AO164" s="533"/>
      <c r="AP164" s="551"/>
    </row>
    <row r="165" ht="15.75" customHeight="1">
      <c r="A165" s="505"/>
      <c r="B165" s="526"/>
      <c r="E165" s="527"/>
      <c r="I165" s="527"/>
      <c r="K165" s="527"/>
      <c r="M165" s="527"/>
      <c r="O165" s="527"/>
      <c r="Q165" s="527"/>
      <c r="X165" s="527"/>
      <c r="AB165" s="527"/>
      <c r="AG165" s="527"/>
      <c r="AJ165" s="527"/>
      <c r="AM165" s="527"/>
      <c r="AO165" s="529"/>
      <c r="AP165" s="551"/>
    </row>
    <row r="166" ht="15.75" customHeight="1">
      <c r="A166" s="505"/>
      <c r="B166" s="530"/>
      <c r="E166" s="531"/>
      <c r="I166" s="531"/>
      <c r="K166" s="531"/>
      <c r="M166" s="531"/>
      <c r="O166" s="531"/>
      <c r="Q166" s="531"/>
      <c r="X166" s="531"/>
      <c r="AB166" s="531"/>
      <c r="AG166" s="531"/>
      <c r="AJ166" s="531"/>
      <c r="AM166" s="531"/>
      <c r="AO166" s="533"/>
      <c r="AP166" s="551"/>
    </row>
    <row r="167" ht="15.75" customHeight="1">
      <c r="A167" s="505"/>
      <c r="B167" s="526"/>
      <c r="E167" s="527"/>
      <c r="I167" s="527"/>
      <c r="K167" s="527"/>
      <c r="M167" s="527"/>
      <c r="O167" s="527"/>
      <c r="Q167" s="527"/>
      <c r="X167" s="527"/>
      <c r="AB167" s="527"/>
      <c r="AG167" s="527"/>
      <c r="AJ167" s="527"/>
      <c r="AM167" s="527"/>
      <c r="AO167" s="529"/>
      <c r="AP167" s="551"/>
    </row>
    <row r="168" ht="15.75" customHeight="1">
      <c r="A168" s="505"/>
      <c r="B168" s="530"/>
      <c r="E168" s="531"/>
      <c r="I168" s="531"/>
      <c r="K168" s="531"/>
      <c r="M168" s="531"/>
      <c r="O168" s="531"/>
      <c r="Q168" s="531"/>
      <c r="X168" s="531"/>
      <c r="AB168" s="531"/>
      <c r="AG168" s="531"/>
      <c r="AJ168" s="531"/>
      <c r="AM168" s="531"/>
      <c r="AO168" s="533"/>
      <c r="AP168" s="551"/>
    </row>
    <row r="169" ht="15.75" customHeight="1">
      <c r="A169" s="505"/>
      <c r="B169" s="526"/>
      <c r="E169" s="527"/>
      <c r="I169" s="527"/>
      <c r="K169" s="527"/>
      <c r="M169" s="527"/>
      <c r="O169" s="527"/>
      <c r="Q169" s="527"/>
      <c r="X169" s="527"/>
      <c r="AB169" s="527"/>
      <c r="AG169" s="527"/>
      <c r="AJ169" s="527"/>
      <c r="AM169" s="527"/>
      <c r="AO169" s="529"/>
      <c r="AP169" s="551"/>
    </row>
    <row r="170" ht="15.75" customHeight="1">
      <c r="A170" s="505"/>
      <c r="B170" s="530"/>
      <c r="E170" s="531"/>
      <c r="I170" s="531"/>
      <c r="K170" s="531"/>
      <c r="M170" s="531"/>
      <c r="O170" s="531"/>
      <c r="Q170" s="531"/>
      <c r="X170" s="531"/>
      <c r="AB170" s="531"/>
      <c r="AG170" s="531"/>
      <c r="AJ170" s="531"/>
      <c r="AM170" s="531"/>
      <c r="AO170" s="533"/>
      <c r="AP170" s="551"/>
    </row>
    <row r="171" ht="15.75" customHeight="1">
      <c r="A171" s="505"/>
      <c r="B171" s="526"/>
      <c r="E171" s="527"/>
      <c r="I171" s="527"/>
      <c r="K171" s="527"/>
      <c r="M171" s="527"/>
      <c r="O171" s="527"/>
      <c r="Q171" s="527"/>
      <c r="X171" s="527"/>
      <c r="AB171" s="527"/>
      <c r="AG171" s="527"/>
      <c r="AJ171" s="527"/>
      <c r="AM171" s="527"/>
      <c r="AO171" s="529"/>
      <c r="AP171" s="551"/>
    </row>
    <row r="172" ht="15.75" customHeight="1">
      <c r="A172" s="505"/>
      <c r="B172" s="530"/>
      <c r="E172" s="531"/>
      <c r="I172" s="531"/>
      <c r="K172" s="531"/>
      <c r="M172" s="531"/>
      <c r="O172" s="531"/>
      <c r="Q172" s="531"/>
      <c r="X172" s="531"/>
      <c r="AB172" s="531"/>
      <c r="AG172" s="531"/>
      <c r="AJ172" s="531"/>
      <c r="AM172" s="531"/>
      <c r="AO172" s="533"/>
      <c r="AP172" s="551"/>
    </row>
    <row r="173" ht="15.75" customHeight="1">
      <c r="A173" s="505"/>
      <c r="B173" s="526"/>
      <c r="E173" s="527"/>
      <c r="I173" s="527"/>
      <c r="K173" s="527"/>
      <c r="M173" s="527"/>
      <c r="O173" s="527"/>
      <c r="Q173" s="527"/>
      <c r="X173" s="527"/>
      <c r="AB173" s="527"/>
      <c r="AG173" s="527"/>
      <c r="AJ173" s="527"/>
      <c r="AM173" s="527"/>
      <c r="AO173" s="529"/>
      <c r="AP173" s="551"/>
    </row>
    <row r="174" ht="15.75" customHeight="1">
      <c r="A174" s="505"/>
      <c r="B174" s="530"/>
      <c r="E174" s="531"/>
      <c r="I174" s="531"/>
      <c r="K174" s="531"/>
      <c r="M174" s="531"/>
      <c r="O174" s="531"/>
      <c r="Q174" s="531"/>
      <c r="X174" s="531"/>
      <c r="AB174" s="531"/>
      <c r="AG174" s="531"/>
      <c r="AJ174" s="531"/>
      <c r="AM174" s="531"/>
      <c r="AO174" s="533"/>
      <c r="AP174" s="551"/>
    </row>
    <row r="175" ht="15.75" customHeight="1">
      <c r="A175" s="505"/>
      <c r="B175" s="526"/>
      <c r="E175" s="527"/>
      <c r="I175" s="527"/>
      <c r="K175" s="527"/>
      <c r="M175" s="527"/>
      <c r="O175" s="527"/>
      <c r="Q175" s="527"/>
      <c r="X175" s="527"/>
      <c r="AB175" s="527"/>
      <c r="AG175" s="527"/>
      <c r="AJ175" s="527"/>
      <c r="AM175" s="527"/>
      <c r="AO175" s="529"/>
      <c r="AP175" s="551"/>
    </row>
    <row r="176" ht="15.75" customHeight="1">
      <c r="A176" s="505"/>
      <c r="B176" s="530"/>
      <c r="E176" s="531"/>
      <c r="I176" s="531"/>
      <c r="K176" s="531"/>
      <c r="M176" s="531"/>
      <c r="O176" s="531"/>
      <c r="Q176" s="531"/>
      <c r="X176" s="531"/>
      <c r="AB176" s="531"/>
      <c r="AG176" s="531"/>
      <c r="AJ176" s="531"/>
      <c r="AM176" s="531"/>
      <c r="AO176" s="533"/>
      <c r="AP176" s="551"/>
    </row>
    <row r="177" ht="15.75" customHeight="1">
      <c r="A177" s="505"/>
      <c r="B177" s="526"/>
      <c r="E177" s="527"/>
      <c r="I177" s="527"/>
      <c r="K177" s="527"/>
      <c r="M177" s="527"/>
      <c r="O177" s="527"/>
      <c r="Q177" s="527"/>
      <c r="X177" s="527"/>
      <c r="AB177" s="527"/>
      <c r="AG177" s="527"/>
      <c r="AJ177" s="527"/>
      <c r="AM177" s="527"/>
      <c r="AO177" s="529"/>
      <c r="AP177" s="551"/>
    </row>
    <row r="178" ht="15.75" customHeight="1">
      <c r="A178" s="505"/>
      <c r="B178" s="530"/>
      <c r="E178" s="531"/>
      <c r="I178" s="531"/>
      <c r="K178" s="531"/>
      <c r="M178" s="531"/>
      <c r="O178" s="531"/>
      <c r="Q178" s="531"/>
      <c r="X178" s="531"/>
      <c r="AB178" s="531"/>
      <c r="AG178" s="531"/>
      <c r="AJ178" s="531"/>
      <c r="AM178" s="531"/>
      <c r="AO178" s="533"/>
      <c r="AP178" s="551"/>
    </row>
    <row r="179" ht="15.75" customHeight="1">
      <c r="A179" s="505"/>
      <c r="B179" s="526"/>
      <c r="E179" s="527"/>
      <c r="I179" s="527"/>
      <c r="K179" s="527"/>
      <c r="M179" s="527"/>
      <c r="O179" s="527"/>
      <c r="Q179" s="527"/>
      <c r="X179" s="527"/>
      <c r="AB179" s="527"/>
      <c r="AG179" s="527"/>
      <c r="AJ179" s="527"/>
      <c r="AM179" s="527"/>
      <c r="AO179" s="529"/>
      <c r="AP179" s="551"/>
    </row>
    <row r="180" ht="15.75" customHeight="1">
      <c r="A180" s="505"/>
      <c r="B180" s="530"/>
      <c r="E180" s="531"/>
      <c r="I180" s="531"/>
      <c r="K180" s="531"/>
      <c r="M180" s="531"/>
      <c r="O180" s="531"/>
      <c r="Q180" s="531"/>
      <c r="X180" s="531"/>
      <c r="AB180" s="531"/>
      <c r="AG180" s="531"/>
      <c r="AJ180" s="531"/>
      <c r="AM180" s="531"/>
      <c r="AO180" s="533"/>
      <c r="AP180" s="551"/>
    </row>
    <row r="181" ht="15.75" customHeight="1">
      <c r="A181" s="505"/>
      <c r="B181" s="526"/>
      <c r="E181" s="527"/>
      <c r="I181" s="527"/>
      <c r="K181" s="527"/>
      <c r="M181" s="527"/>
      <c r="O181" s="527"/>
      <c r="Q181" s="527"/>
      <c r="X181" s="527"/>
      <c r="AB181" s="527"/>
      <c r="AG181" s="527"/>
      <c r="AJ181" s="527"/>
      <c r="AM181" s="527"/>
      <c r="AO181" s="529"/>
      <c r="AP181" s="551"/>
    </row>
    <row r="182" ht="15.75" customHeight="1">
      <c r="A182" s="505"/>
      <c r="B182" s="530"/>
      <c r="E182" s="531"/>
      <c r="I182" s="531"/>
      <c r="K182" s="531"/>
      <c r="M182" s="531"/>
      <c r="O182" s="531"/>
      <c r="Q182" s="531"/>
      <c r="X182" s="531"/>
      <c r="AB182" s="531"/>
      <c r="AG182" s="531"/>
      <c r="AJ182" s="531"/>
      <c r="AM182" s="531"/>
      <c r="AO182" s="533"/>
      <c r="AP182" s="551"/>
    </row>
    <row r="183" ht="15.75" customHeight="1">
      <c r="A183" s="505"/>
      <c r="B183" s="526"/>
      <c r="E183" s="527"/>
      <c r="I183" s="527"/>
      <c r="K183" s="527"/>
      <c r="M183" s="527"/>
      <c r="O183" s="527"/>
      <c r="Q183" s="527"/>
      <c r="X183" s="527"/>
      <c r="AB183" s="527"/>
      <c r="AG183" s="527"/>
      <c r="AJ183" s="527"/>
      <c r="AM183" s="527"/>
      <c r="AO183" s="529"/>
      <c r="AP183" s="551"/>
    </row>
    <row r="184" ht="15.75" customHeight="1">
      <c r="A184" s="505"/>
      <c r="B184" s="530"/>
      <c r="E184" s="531"/>
      <c r="I184" s="531"/>
      <c r="K184" s="531"/>
      <c r="M184" s="531"/>
      <c r="O184" s="531"/>
      <c r="Q184" s="531"/>
      <c r="X184" s="531"/>
      <c r="AB184" s="531"/>
      <c r="AG184" s="531"/>
      <c r="AJ184" s="531"/>
      <c r="AM184" s="531"/>
      <c r="AO184" s="533"/>
      <c r="AP184" s="551"/>
    </row>
    <row r="185" ht="15.75" customHeight="1">
      <c r="A185" s="505"/>
      <c r="B185" s="526"/>
      <c r="E185" s="527"/>
      <c r="I185" s="527"/>
      <c r="K185" s="527"/>
      <c r="M185" s="527"/>
      <c r="O185" s="527"/>
      <c r="Q185" s="527"/>
      <c r="X185" s="527"/>
      <c r="AB185" s="527"/>
      <c r="AG185" s="527"/>
      <c r="AJ185" s="527"/>
      <c r="AM185" s="527"/>
      <c r="AO185" s="529"/>
      <c r="AP185" s="551"/>
    </row>
    <row r="186" ht="15.75" customHeight="1">
      <c r="A186" s="505"/>
      <c r="B186" s="530"/>
      <c r="E186" s="531"/>
      <c r="I186" s="531"/>
      <c r="K186" s="531"/>
      <c r="M186" s="531"/>
      <c r="O186" s="531"/>
      <c r="Q186" s="531"/>
      <c r="X186" s="531"/>
      <c r="AB186" s="531"/>
      <c r="AG186" s="531"/>
      <c r="AJ186" s="531"/>
      <c r="AM186" s="531"/>
      <c r="AO186" s="533"/>
      <c r="AP186" s="551"/>
    </row>
    <row r="187" ht="15.75" customHeight="1">
      <c r="A187" s="505"/>
      <c r="B187" s="526"/>
      <c r="E187" s="527"/>
      <c r="I187" s="527"/>
      <c r="K187" s="527"/>
      <c r="M187" s="527"/>
      <c r="O187" s="527"/>
      <c r="Q187" s="527"/>
      <c r="X187" s="527"/>
      <c r="AB187" s="527"/>
      <c r="AG187" s="527"/>
      <c r="AJ187" s="527"/>
      <c r="AM187" s="527"/>
      <c r="AO187" s="529"/>
      <c r="AP187" s="551"/>
    </row>
    <row r="188" ht="15.75" customHeight="1">
      <c r="A188" s="505"/>
      <c r="B188" s="530"/>
      <c r="E188" s="531"/>
      <c r="I188" s="531"/>
      <c r="K188" s="531"/>
      <c r="M188" s="531"/>
      <c r="O188" s="531"/>
      <c r="Q188" s="531"/>
      <c r="X188" s="531"/>
      <c r="AB188" s="531"/>
      <c r="AG188" s="531"/>
      <c r="AJ188" s="531"/>
      <c r="AM188" s="531"/>
      <c r="AO188" s="533"/>
      <c r="AP188" s="551"/>
    </row>
    <row r="189" ht="15.75" customHeight="1">
      <c r="A189" s="505"/>
      <c r="B189" s="526"/>
      <c r="E189" s="527"/>
      <c r="I189" s="527"/>
      <c r="K189" s="527"/>
      <c r="M189" s="527"/>
      <c r="O189" s="527"/>
      <c r="Q189" s="527"/>
      <c r="X189" s="527"/>
      <c r="AB189" s="527"/>
      <c r="AG189" s="527"/>
      <c r="AJ189" s="527"/>
      <c r="AM189" s="527"/>
      <c r="AO189" s="529"/>
      <c r="AP189" s="551"/>
    </row>
    <row r="190" ht="15.75" customHeight="1">
      <c r="A190" s="505"/>
      <c r="B190" s="530"/>
      <c r="E190" s="531"/>
      <c r="I190" s="531"/>
      <c r="K190" s="531"/>
      <c r="M190" s="531"/>
      <c r="O190" s="531"/>
      <c r="Q190" s="531"/>
      <c r="X190" s="531"/>
      <c r="AB190" s="531"/>
      <c r="AG190" s="531"/>
      <c r="AJ190" s="531"/>
      <c r="AM190" s="531"/>
      <c r="AO190" s="533"/>
      <c r="AP190" s="551"/>
    </row>
    <row r="191" ht="15.75" customHeight="1">
      <c r="A191" s="505"/>
      <c r="B191" s="526"/>
      <c r="E191" s="527"/>
      <c r="I191" s="527"/>
      <c r="K191" s="527"/>
      <c r="M191" s="527"/>
      <c r="O191" s="527"/>
      <c r="Q191" s="527"/>
      <c r="X191" s="527"/>
      <c r="AB191" s="527"/>
      <c r="AG191" s="527"/>
      <c r="AJ191" s="527"/>
      <c r="AM191" s="527"/>
      <c r="AO191" s="529"/>
      <c r="AP191" s="551"/>
    </row>
    <row r="192" ht="15.75" customHeight="1">
      <c r="A192" s="505"/>
      <c r="B192" s="530"/>
      <c r="E192" s="531"/>
      <c r="I192" s="531"/>
      <c r="K192" s="531"/>
      <c r="M192" s="531"/>
      <c r="O192" s="531"/>
      <c r="Q192" s="531"/>
      <c r="X192" s="531"/>
      <c r="AB192" s="531"/>
      <c r="AG192" s="531"/>
      <c r="AJ192" s="531"/>
      <c r="AM192" s="531"/>
      <c r="AO192" s="533"/>
      <c r="AP192" s="551"/>
    </row>
    <row r="193" ht="15.75" customHeight="1">
      <c r="A193" s="505"/>
      <c r="B193" s="526"/>
      <c r="E193" s="527"/>
      <c r="I193" s="527"/>
      <c r="K193" s="527"/>
      <c r="M193" s="527"/>
      <c r="O193" s="527"/>
      <c r="Q193" s="527"/>
      <c r="X193" s="527"/>
      <c r="AB193" s="527"/>
      <c r="AG193" s="527"/>
      <c r="AJ193" s="527"/>
      <c r="AM193" s="527"/>
      <c r="AO193" s="529"/>
      <c r="AP193" s="551"/>
    </row>
    <row r="194" ht="15.75" customHeight="1">
      <c r="A194" s="505"/>
      <c r="B194" s="530"/>
      <c r="E194" s="531"/>
      <c r="I194" s="531"/>
      <c r="K194" s="531"/>
      <c r="M194" s="531"/>
      <c r="O194" s="531"/>
      <c r="Q194" s="531"/>
      <c r="X194" s="531"/>
      <c r="AB194" s="531"/>
      <c r="AG194" s="531"/>
      <c r="AJ194" s="531"/>
      <c r="AM194" s="531"/>
      <c r="AO194" s="533"/>
      <c r="AP194" s="551"/>
    </row>
    <row r="195" ht="15.75" customHeight="1">
      <c r="A195" s="505"/>
      <c r="B195" s="526"/>
      <c r="E195" s="527"/>
      <c r="I195" s="527"/>
      <c r="K195" s="527"/>
      <c r="M195" s="527"/>
      <c r="O195" s="527"/>
      <c r="Q195" s="527"/>
      <c r="X195" s="527"/>
      <c r="AB195" s="527"/>
      <c r="AG195" s="527"/>
      <c r="AJ195" s="527"/>
      <c r="AM195" s="527"/>
      <c r="AO195" s="529"/>
      <c r="AP195" s="551"/>
    </row>
    <row r="196" ht="15.75" customHeight="1">
      <c r="A196" s="505"/>
      <c r="B196" s="530"/>
      <c r="E196" s="531"/>
      <c r="I196" s="531"/>
      <c r="K196" s="531"/>
      <c r="M196" s="531"/>
      <c r="O196" s="531"/>
      <c r="Q196" s="531"/>
      <c r="X196" s="531"/>
      <c r="AB196" s="531"/>
      <c r="AG196" s="531"/>
      <c r="AJ196" s="531"/>
      <c r="AM196" s="531"/>
      <c r="AO196" s="533"/>
      <c r="AP196" s="551"/>
    </row>
    <row r="197" ht="15.75" customHeight="1">
      <c r="A197" s="505"/>
      <c r="B197" s="526"/>
      <c r="E197" s="527"/>
      <c r="I197" s="527"/>
      <c r="K197" s="527"/>
      <c r="M197" s="527"/>
      <c r="O197" s="527"/>
      <c r="Q197" s="527"/>
      <c r="X197" s="527"/>
      <c r="AB197" s="527"/>
      <c r="AG197" s="527"/>
      <c r="AJ197" s="527"/>
      <c r="AM197" s="527"/>
      <c r="AO197" s="529"/>
      <c r="AP197" s="551"/>
    </row>
    <row r="198" ht="15.75" customHeight="1">
      <c r="A198" s="505"/>
      <c r="B198" s="530"/>
      <c r="E198" s="531"/>
      <c r="I198" s="531"/>
      <c r="K198" s="531"/>
      <c r="M198" s="531"/>
      <c r="O198" s="531"/>
      <c r="Q198" s="531"/>
      <c r="X198" s="531"/>
      <c r="AB198" s="531"/>
      <c r="AG198" s="531"/>
      <c r="AJ198" s="531"/>
      <c r="AM198" s="531"/>
      <c r="AO198" s="533"/>
      <c r="AP198" s="551"/>
    </row>
    <row r="199" ht="15.75" customHeight="1">
      <c r="A199" s="505"/>
      <c r="B199" s="526"/>
      <c r="E199" s="527"/>
      <c r="I199" s="527"/>
      <c r="K199" s="527"/>
      <c r="M199" s="527"/>
      <c r="O199" s="527"/>
      <c r="Q199" s="527"/>
      <c r="X199" s="527"/>
      <c r="AB199" s="527"/>
      <c r="AG199" s="527"/>
      <c r="AJ199" s="527"/>
      <c r="AM199" s="527"/>
      <c r="AO199" s="529"/>
      <c r="AP199" s="551"/>
    </row>
    <row r="200" ht="15.75" customHeight="1">
      <c r="A200" s="505"/>
      <c r="B200" s="530"/>
      <c r="E200" s="531"/>
      <c r="I200" s="531"/>
      <c r="K200" s="531"/>
      <c r="M200" s="531"/>
      <c r="O200" s="531"/>
      <c r="Q200" s="531"/>
      <c r="X200" s="531"/>
      <c r="AB200" s="531"/>
      <c r="AG200" s="531"/>
      <c r="AJ200" s="531"/>
      <c r="AM200" s="531"/>
      <c r="AO200" s="533"/>
      <c r="AP200" s="551"/>
    </row>
    <row r="201" ht="15.75" customHeight="1">
      <c r="A201" s="505"/>
      <c r="B201" s="526"/>
      <c r="E201" s="527"/>
      <c r="I201" s="527"/>
      <c r="K201" s="527"/>
      <c r="M201" s="527"/>
      <c r="O201" s="527"/>
      <c r="Q201" s="527"/>
      <c r="X201" s="527"/>
      <c r="AB201" s="527"/>
      <c r="AG201" s="527"/>
      <c r="AJ201" s="527"/>
      <c r="AM201" s="527"/>
      <c r="AO201" s="529"/>
      <c r="AP201" s="551"/>
    </row>
  </sheetData>
  <mergeCells count="2361">
    <mergeCell ref="X8:AA8"/>
    <mergeCell ref="AB8:AF8"/>
    <mergeCell ref="AG8:AI8"/>
    <mergeCell ref="AJ8:AL8"/>
    <mergeCell ref="AM8:AO8"/>
    <mergeCell ref="B8:D8"/>
    <mergeCell ref="E8:H8"/>
    <mergeCell ref="I8:J8"/>
    <mergeCell ref="K8:L8"/>
    <mergeCell ref="M8:N8"/>
    <mergeCell ref="O8:P8"/>
    <mergeCell ref="Q8:W8"/>
    <mergeCell ref="X9:AA9"/>
    <mergeCell ref="AB9:AF9"/>
    <mergeCell ref="AG9:AI9"/>
    <mergeCell ref="AJ9:AL9"/>
    <mergeCell ref="AM9:AO9"/>
    <mergeCell ref="B9:D9"/>
    <mergeCell ref="E9:H9"/>
    <mergeCell ref="I9:J9"/>
    <mergeCell ref="K9:L9"/>
    <mergeCell ref="M9:N9"/>
    <mergeCell ref="O9:P9"/>
    <mergeCell ref="Q9:W9"/>
    <mergeCell ref="X10:AA10"/>
    <mergeCell ref="AB10:AF10"/>
    <mergeCell ref="AG10:AI10"/>
    <mergeCell ref="AJ10:AL10"/>
    <mergeCell ref="AM10:AO10"/>
    <mergeCell ref="B10:D10"/>
    <mergeCell ref="E10:H10"/>
    <mergeCell ref="I10:J10"/>
    <mergeCell ref="K10:L10"/>
    <mergeCell ref="M10:N10"/>
    <mergeCell ref="O10:P10"/>
    <mergeCell ref="Q10:W10"/>
    <mergeCell ref="X11:AA11"/>
    <mergeCell ref="AB11:AF11"/>
    <mergeCell ref="AG11:AI11"/>
    <mergeCell ref="AJ11:AL11"/>
    <mergeCell ref="AM11:AO11"/>
    <mergeCell ref="B11:D11"/>
    <mergeCell ref="E11:H11"/>
    <mergeCell ref="I11:J11"/>
    <mergeCell ref="K11:L11"/>
    <mergeCell ref="M11:N11"/>
    <mergeCell ref="O11:P11"/>
    <mergeCell ref="Q11:W11"/>
    <mergeCell ref="X12:AA12"/>
    <mergeCell ref="AB12:AF12"/>
    <mergeCell ref="AG12:AI12"/>
    <mergeCell ref="AJ12:AL12"/>
    <mergeCell ref="AM12:AO12"/>
    <mergeCell ref="B12:D12"/>
    <mergeCell ref="E12:H12"/>
    <mergeCell ref="I12:J12"/>
    <mergeCell ref="K12:L12"/>
    <mergeCell ref="M12:N12"/>
    <mergeCell ref="O12:P12"/>
    <mergeCell ref="Q12:W12"/>
    <mergeCell ref="X13:AA13"/>
    <mergeCell ref="AB13:AF13"/>
    <mergeCell ref="AG13:AI13"/>
    <mergeCell ref="AJ13:AL13"/>
    <mergeCell ref="AM13:AO13"/>
    <mergeCell ref="B13:D13"/>
    <mergeCell ref="E13:H13"/>
    <mergeCell ref="I13:J13"/>
    <mergeCell ref="K13:L13"/>
    <mergeCell ref="M13:N13"/>
    <mergeCell ref="O13:P13"/>
    <mergeCell ref="Q13:W13"/>
    <mergeCell ref="X14:AA14"/>
    <mergeCell ref="AB14:AF14"/>
    <mergeCell ref="AG14:AI14"/>
    <mergeCell ref="AJ14:AL14"/>
    <mergeCell ref="AM14:AO14"/>
    <mergeCell ref="B14:D14"/>
    <mergeCell ref="E14:H14"/>
    <mergeCell ref="I14:J14"/>
    <mergeCell ref="K14:L14"/>
    <mergeCell ref="M14:N14"/>
    <mergeCell ref="O14:P14"/>
    <mergeCell ref="Q14:W14"/>
    <mergeCell ref="X15:AA15"/>
    <mergeCell ref="AB15:AF15"/>
    <mergeCell ref="AG15:AI15"/>
    <mergeCell ref="AJ15:AL15"/>
    <mergeCell ref="AM15:AO15"/>
    <mergeCell ref="B15:D15"/>
    <mergeCell ref="E15:H15"/>
    <mergeCell ref="I15:J15"/>
    <mergeCell ref="K15:L15"/>
    <mergeCell ref="M15:N15"/>
    <mergeCell ref="O15:P15"/>
    <mergeCell ref="Q15:W15"/>
    <mergeCell ref="X16:AA16"/>
    <mergeCell ref="AB16:AF16"/>
    <mergeCell ref="AG16:AI16"/>
    <mergeCell ref="AJ16:AL16"/>
    <mergeCell ref="AM16:AO16"/>
    <mergeCell ref="B16:D16"/>
    <mergeCell ref="E16:H16"/>
    <mergeCell ref="I16:J16"/>
    <mergeCell ref="K16:L16"/>
    <mergeCell ref="M16:N16"/>
    <mergeCell ref="O16:P16"/>
    <mergeCell ref="Q16:W16"/>
    <mergeCell ref="X17:AA17"/>
    <mergeCell ref="AB17:AF17"/>
    <mergeCell ref="AG17:AI17"/>
    <mergeCell ref="AJ17:AL17"/>
    <mergeCell ref="AM17:AO17"/>
    <mergeCell ref="B17:D17"/>
    <mergeCell ref="E17:H17"/>
    <mergeCell ref="I17:J17"/>
    <mergeCell ref="K17:L17"/>
    <mergeCell ref="M17:N17"/>
    <mergeCell ref="O17:P17"/>
    <mergeCell ref="Q17:W17"/>
    <mergeCell ref="X18:AA18"/>
    <mergeCell ref="AB18:AF18"/>
    <mergeCell ref="AG18:AI18"/>
    <mergeCell ref="AJ18:AL18"/>
    <mergeCell ref="AM18:AO18"/>
    <mergeCell ref="B18:D18"/>
    <mergeCell ref="E18:H18"/>
    <mergeCell ref="I18:J18"/>
    <mergeCell ref="K18:L18"/>
    <mergeCell ref="M18:N18"/>
    <mergeCell ref="O18:P18"/>
    <mergeCell ref="Q18:W18"/>
    <mergeCell ref="X19:AA19"/>
    <mergeCell ref="AB19:AF19"/>
    <mergeCell ref="AG19:AI19"/>
    <mergeCell ref="AJ19:AL19"/>
    <mergeCell ref="AM19:AO19"/>
    <mergeCell ref="B19:D19"/>
    <mergeCell ref="E19:H19"/>
    <mergeCell ref="I19:J19"/>
    <mergeCell ref="K19:L19"/>
    <mergeCell ref="M19:N19"/>
    <mergeCell ref="O19:P19"/>
    <mergeCell ref="Q19:W19"/>
    <mergeCell ref="X20:AA20"/>
    <mergeCell ref="AB20:AF20"/>
    <mergeCell ref="AG20:AI20"/>
    <mergeCell ref="AJ20:AL20"/>
    <mergeCell ref="AM20:AO20"/>
    <mergeCell ref="B20:D20"/>
    <mergeCell ref="E20:H20"/>
    <mergeCell ref="I20:J20"/>
    <mergeCell ref="K20:L20"/>
    <mergeCell ref="M20:N20"/>
    <mergeCell ref="O20:P20"/>
    <mergeCell ref="Q20:W20"/>
    <mergeCell ref="X21:AA21"/>
    <mergeCell ref="AB21:AF21"/>
    <mergeCell ref="AG21:AI21"/>
    <mergeCell ref="AJ21:AL21"/>
    <mergeCell ref="AM21:AO21"/>
    <mergeCell ref="B21:D21"/>
    <mergeCell ref="E21:H21"/>
    <mergeCell ref="I21:J21"/>
    <mergeCell ref="K21:L21"/>
    <mergeCell ref="M21:N21"/>
    <mergeCell ref="O21:P21"/>
    <mergeCell ref="Q21:W21"/>
    <mergeCell ref="X22:AA22"/>
    <mergeCell ref="AB22:AF22"/>
    <mergeCell ref="AG22:AI22"/>
    <mergeCell ref="AJ22:AL22"/>
    <mergeCell ref="AM22:AO22"/>
    <mergeCell ref="B22:D22"/>
    <mergeCell ref="E22:H22"/>
    <mergeCell ref="I22:J22"/>
    <mergeCell ref="K22:L22"/>
    <mergeCell ref="M22:N22"/>
    <mergeCell ref="O22:P22"/>
    <mergeCell ref="Q22:W22"/>
    <mergeCell ref="X23:AA23"/>
    <mergeCell ref="AB23:AF23"/>
    <mergeCell ref="AG23:AI23"/>
    <mergeCell ref="AJ23:AL23"/>
    <mergeCell ref="AM23:AO23"/>
    <mergeCell ref="B23:D23"/>
    <mergeCell ref="E23:H23"/>
    <mergeCell ref="I23:J23"/>
    <mergeCell ref="K23:L23"/>
    <mergeCell ref="M23:N23"/>
    <mergeCell ref="O23:P23"/>
    <mergeCell ref="Q23:W23"/>
    <mergeCell ref="X24:AA24"/>
    <mergeCell ref="AB24:AF24"/>
    <mergeCell ref="AG24:AI24"/>
    <mergeCell ref="AJ24:AL24"/>
    <mergeCell ref="AM24:AO24"/>
    <mergeCell ref="B24:D24"/>
    <mergeCell ref="E24:H24"/>
    <mergeCell ref="I24:J24"/>
    <mergeCell ref="K24:L24"/>
    <mergeCell ref="M24:N24"/>
    <mergeCell ref="O24:P24"/>
    <mergeCell ref="Q24:W24"/>
    <mergeCell ref="X25:AA25"/>
    <mergeCell ref="AB25:AF25"/>
    <mergeCell ref="AG25:AI25"/>
    <mergeCell ref="AJ25:AL25"/>
    <mergeCell ref="AM25:AO25"/>
    <mergeCell ref="B25:D25"/>
    <mergeCell ref="E25:H25"/>
    <mergeCell ref="I25:J25"/>
    <mergeCell ref="K25:L25"/>
    <mergeCell ref="M25:N25"/>
    <mergeCell ref="O25:P25"/>
    <mergeCell ref="Q25:W25"/>
    <mergeCell ref="X26:AA26"/>
    <mergeCell ref="AB26:AF26"/>
    <mergeCell ref="AG26:AI26"/>
    <mergeCell ref="AJ26:AL26"/>
    <mergeCell ref="AM26:AO26"/>
    <mergeCell ref="B26:D26"/>
    <mergeCell ref="E26:H26"/>
    <mergeCell ref="I26:J26"/>
    <mergeCell ref="K26:L26"/>
    <mergeCell ref="M26:N26"/>
    <mergeCell ref="O26:P26"/>
    <mergeCell ref="Q26:W26"/>
    <mergeCell ref="X27:AA27"/>
    <mergeCell ref="AB27:AF27"/>
    <mergeCell ref="AG27:AI27"/>
    <mergeCell ref="AJ27:AL27"/>
    <mergeCell ref="AM27:AO27"/>
    <mergeCell ref="B27:D27"/>
    <mergeCell ref="E27:H27"/>
    <mergeCell ref="I27:J27"/>
    <mergeCell ref="K27:L27"/>
    <mergeCell ref="M27:N27"/>
    <mergeCell ref="O27:P27"/>
    <mergeCell ref="Q27:W27"/>
    <mergeCell ref="X28:AA28"/>
    <mergeCell ref="AB28:AF28"/>
    <mergeCell ref="AG28:AI28"/>
    <mergeCell ref="AJ28:AL28"/>
    <mergeCell ref="AM28:AO28"/>
    <mergeCell ref="B28:D28"/>
    <mergeCell ref="E28:H28"/>
    <mergeCell ref="I28:J28"/>
    <mergeCell ref="K28:L28"/>
    <mergeCell ref="M28:N28"/>
    <mergeCell ref="O28:P28"/>
    <mergeCell ref="Q28:W28"/>
    <mergeCell ref="X29:AA29"/>
    <mergeCell ref="AB29:AF29"/>
    <mergeCell ref="AG29:AI29"/>
    <mergeCell ref="AJ29:AL29"/>
    <mergeCell ref="AM29:AO29"/>
    <mergeCell ref="B29:D29"/>
    <mergeCell ref="E29:H29"/>
    <mergeCell ref="I29:J29"/>
    <mergeCell ref="K29:L29"/>
    <mergeCell ref="M29:N29"/>
    <mergeCell ref="O29:P29"/>
    <mergeCell ref="Q29:W29"/>
    <mergeCell ref="X30:AA30"/>
    <mergeCell ref="AB30:AF30"/>
    <mergeCell ref="AG30:AI30"/>
    <mergeCell ref="AJ30:AL30"/>
    <mergeCell ref="AM30:AO30"/>
    <mergeCell ref="B30:D30"/>
    <mergeCell ref="E30:H30"/>
    <mergeCell ref="I30:J30"/>
    <mergeCell ref="K30:L30"/>
    <mergeCell ref="M30:N30"/>
    <mergeCell ref="O30:P30"/>
    <mergeCell ref="Q30:W30"/>
    <mergeCell ref="X31:AA31"/>
    <mergeCell ref="AB31:AF31"/>
    <mergeCell ref="AG31:AI31"/>
    <mergeCell ref="AJ31:AL31"/>
    <mergeCell ref="AM31:AO31"/>
    <mergeCell ref="B31:D31"/>
    <mergeCell ref="E31:H31"/>
    <mergeCell ref="I31:J31"/>
    <mergeCell ref="K31:L31"/>
    <mergeCell ref="M31:N31"/>
    <mergeCell ref="O31:P31"/>
    <mergeCell ref="Q31:W31"/>
    <mergeCell ref="X32:AA32"/>
    <mergeCell ref="AB32:AF32"/>
    <mergeCell ref="AG32:AI32"/>
    <mergeCell ref="AJ32:AL32"/>
    <mergeCell ref="AM32:AO32"/>
    <mergeCell ref="B32:D32"/>
    <mergeCell ref="E32:H32"/>
    <mergeCell ref="I32:J32"/>
    <mergeCell ref="K32:L32"/>
    <mergeCell ref="M32:N32"/>
    <mergeCell ref="O32:P32"/>
    <mergeCell ref="Q32:W32"/>
    <mergeCell ref="X33:AA33"/>
    <mergeCell ref="AB33:AF33"/>
    <mergeCell ref="AG33:AI33"/>
    <mergeCell ref="AJ33:AL33"/>
    <mergeCell ref="AM33:AO33"/>
    <mergeCell ref="B33:D33"/>
    <mergeCell ref="E33:H33"/>
    <mergeCell ref="I33:J33"/>
    <mergeCell ref="K33:L33"/>
    <mergeCell ref="M33:N33"/>
    <mergeCell ref="O33:P33"/>
    <mergeCell ref="Q33:W33"/>
    <mergeCell ref="X34:AA34"/>
    <mergeCell ref="AB34:AF34"/>
    <mergeCell ref="AG34:AI34"/>
    <mergeCell ref="AJ34:AL34"/>
    <mergeCell ref="AM34:AO34"/>
    <mergeCell ref="B34:D34"/>
    <mergeCell ref="E34:H34"/>
    <mergeCell ref="I34:J34"/>
    <mergeCell ref="K34:L34"/>
    <mergeCell ref="M34:N34"/>
    <mergeCell ref="O34:P34"/>
    <mergeCell ref="Q34:W34"/>
    <mergeCell ref="X35:AA35"/>
    <mergeCell ref="AB35:AF35"/>
    <mergeCell ref="AG35:AI35"/>
    <mergeCell ref="AJ35:AL35"/>
    <mergeCell ref="AM35:AO35"/>
    <mergeCell ref="B35:D35"/>
    <mergeCell ref="E35:H35"/>
    <mergeCell ref="I35:J35"/>
    <mergeCell ref="K35:L35"/>
    <mergeCell ref="M35:N35"/>
    <mergeCell ref="O35:P35"/>
    <mergeCell ref="Q35:W35"/>
    <mergeCell ref="X36:AA36"/>
    <mergeCell ref="AB36:AF36"/>
    <mergeCell ref="AG36:AI36"/>
    <mergeCell ref="AJ36:AL36"/>
    <mergeCell ref="AM36:AO36"/>
    <mergeCell ref="B36:D36"/>
    <mergeCell ref="E36:H36"/>
    <mergeCell ref="I36:J36"/>
    <mergeCell ref="K36:L36"/>
    <mergeCell ref="M36:N36"/>
    <mergeCell ref="O36:P36"/>
    <mergeCell ref="Q36:W36"/>
    <mergeCell ref="X37:AA37"/>
    <mergeCell ref="AB37:AF37"/>
    <mergeCell ref="AG37:AI37"/>
    <mergeCell ref="AJ37:AL37"/>
    <mergeCell ref="AM37:AO37"/>
    <mergeCell ref="B37:D37"/>
    <mergeCell ref="E37:H37"/>
    <mergeCell ref="I37:J37"/>
    <mergeCell ref="K37:L37"/>
    <mergeCell ref="M37:N37"/>
    <mergeCell ref="O37:P37"/>
    <mergeCell ref="Q37:W37"/>
    <mergeCell ref="X38:AA38"/>
    <mergeCell ref="AB38:AF38"/>
    <mergeCell ref="AG38:AI38"/>
    <mergeCell ref="AJ38:AL38"/>
    <mergeCell ref="AM38:AO38"/>
    <mergeCell ref="B38:D38"/>
    <mergeCell ref="E38:H38"/>
    <mergeCell ref="I38:J38"/>
    <mergeCell ref="K38:L38"/>
    <mergeCell ref="M38:N38"/>
    <mergeCell ref="O38:P38"/>
    <mergeCell ref="Q38:W38"/>
    <mergeCell ref="X39:AA39"/>
    <mergeCell ref="AB39:AF39"/>
    <mergeCell ref="AG39:AI39"/>
    <mergeCell ref="AJ39:AL39"/>
    <mergeCell ref="AM39:AO39"/>
    <mergeCell ref="B39:D39"/>
    <mergeCell ref="E39:H39"/>
    <mergeCell ref="I39:J39"/>
    <mergeCell ref="K39:L39"/>
    <mergeCell ref="M39:N39"/>
    <mergeCell ref="O39:P39"/>
    <mergeCell ref="Q39:W39"/>
    <mergeCell ref="X40:AA40"/>
    <mergeCell ref="AB40:AF40"/>
    <mergeCell ref="AG40:AI40"/>
    <mergeCell ref="AJ40:AL40"/>
    <mergeCell ref="AM40:AO40"/>
    <mergeCell ref="B40:D40"/>
    <mergeCell ref="E40:H40"/>
    <mergeCell ref="I40:J40"/>
    <mergeCell ref="K40:L40"/>
    <mergeCell ref="M40:N40"/>
    <mergeCell ref="O40:P40"/>
    <mergeCell ref="Q40:W40"/>
    <mergeCell ref="X41:AA41"/>
    <mergeCell ref="AB41:AF41"/>
    <mergeCell ref="AG41:AI41"/>
    <mergeCell ref="AJ41:AL41"/>
    <mergeCell ref="AM41:AO41"/>
    <mergeCell ref="B41:D41"/>
    <mergeCell ref="E41:H41"/>
    <mergeCell ref="I41:J41"/>
    <mergeCell ref="K41:L41"/>
    <mergeCell ref="M41:N41"/>
    <mergeCell ref="O41:P41"/>
    <mergeCell ref="Q41:W41"/>
    <mergeCell ref="X42:AA42"/>
    <mergeCell ref="AB42:AF42"/>
    <mergeCell ref="AG42:AI42"/>
    <mergeCell ref="AJ42:AL42"/>
    <mergeCell ref="AM42:AO42"/>
    <mergeCell ref="B42:D42"/>
    <mergeCell ref="E42:H42"/>
    <mergeCell ref="I42:J42"/>
    <mergeCell ref="K42:L42"/>
    <mergeCell ref="M42:N42"/>
    <mergeCell ref="O42:P42"/>
    <mergeCell ref="Q42:W42"/>
    <mergeCell ref="X43:AA43"/>
    <mergeCell ref="AB43:AF43"/>
    <mergeCell ref="AG43:AI43"/>
    <mergeCell ref="AJ43:AL43"/>
    <mergeCell ref="AM43:AO43"/>
    <mergeCell ref="B43:D43"/>
    <mergeCell ref="E43:H43"/>
    <mergeCell ref="I43:J43"/>
    <mergeCell ref="K43:L43"/>
    <mergeCell ref="M43:N43"/>
    <mergeCell ref="O43:P43"/>
    <mergeCell ref="Q43:W43"/>
    <mergeCell ref="X44:AA44"/>
    <mergeCell ref="AB44:AF44"/>
    <mergeCell ref="AG44:AI44"/>
    <mergeCell ref="AJ44:AL44"/>
    <mergeCell ref="AM44:AO44"/>
    <mergeCell ref="B44:D44"/>
    <mergeCell ref="E44:H44"/>
    <mergeCell ref="I44:J44"/>
    <mergeCell ref="K44:L44"/>
    <mergeCell ref="M44:N44"/>
    <mergeCell ref="O44:P44"/>
    <mergeCell ref="Q44:W44"/>
    <mergeCell ref="X45:AA45"/>
    <mergeCell ref="AB45:AF45"/>
    <mergeCell ref="AG45:AI45"/>
    <mergeCell ref="AJ45:AL45"/>
    <mergeCell ref="AM45:AO45"/>
    <mergeCell ref="B45:D45"/>
    <mergeCell ref="E45:H45"/>
    <mergeCell ref="I45:J45"/>
    <mergeCell ref="K45:L45"/>
    <mergeCell ref="M45:N45"/>
    <mergeCell ref="O45:P45"/>
    <mergeCell ref="Q45:W45"/>
    <mergeCell ref="X46:AA46"/>
    <mergeCell ref="AB46:AF46"/>
    <mergeCell ref="AG46:AI46"/>
    <mergeCell ref="AJ46:AL46"/>
    <mergeCell ref="AM46:AO46"/>
    <mergeCell ref="B46:D46"/>
    <mergeCell ref="E46:H46"/>
    <mergeCell ref="I46:J46"/>
    <mergeCell ref="K46:L46"/>
    <mergeCell ref="M46:N46"/>
    <mergeCell ref="O46:P46"/>
    <mergeCell ref="Q46:W46"/>
    <mergeCell ref="X47:AA47"/>
    <mergeCell ref="AB47:AF47"/>
    <mergeCell ref="AG47:AI47"/>
    <mergeCell ref="AJ47:AL47"/>
    <mergeCell ref="AM47:AO47"/>
    <mergeCell ref="B47:D47"/>
    <mergeCell ref="E47:H47"/>
    <mergeCell ref="I47:J47"/>
    <mergeCell ref="K47:L47"/>
    <mergeCell ref="M47:N47"/>
    <mergeCell ref="O47:P47"/>
    <mergeCell ref="Q47:W47"/>
    <mergeCell ref="X48:AA48"/>
    <mergeCell ref="AB48:AF48"/>
    <mergeCell ref="AG48:AI48"/>
    <mergeCell ref="AJ48:AL48"/>
    <mergeCell ref="AM48:AO48"/>
    <mergeCell ref="B48:D48"/>
    <mergeCell ref="E48:H48"/>
    <mergeCell ref="I48:J48"/>
    <mergeCell ref="K48:L48"/>
    <mergeCell ref="M48:N48"/>
    <mergeCell ref="O48:P48"/>
    <mergeCell ref="Q48:W48"/>
    <mergeCell ref="X49:AA49"/>
    <mergeCell ref="AB49:AF49"/>
    <mergeCell ref="AG49:AI49"/>
    <mergeCell ref="AJ49:AL49"/>
    <mergeCell ref="AM49:AO49"/>
    <mergeCell ref="B49:D49"/>
    <mergeCell ref="E49:H49"/>
    <mergeCell ref="I49:J49"/>
    <mergeCell ref="K49:L49"/>
    <mergeCell ref="M49:N49"/>
    <mergeCell ref="O49:P49"/>
    <mergeCell ref="Q49:W49"/>
    <mergeCell ref="X50:AA50"/>
    <mergeCell ref="AB50:AF50"/>
    <mergeCell ref="AG50:AI50"/>
    <mergeCell ref="AJ50:AL50"/>
    <mergeCell ref="AM50:AO50"/>
    <mergeCell ref="B50:D50"/>
    <mergeCell ref="E50:H50"/>
    <mergeCell ref="I50:J50"/>
    <mergeCell ref="K50:L50"/>
    <mergeCell ref="M50:N50"/>
    <mergeCell ref="O50:P50"/>
    <mergeCell ref="Q50:W50"/>
    <mergeCell ref="X51:AA51"/>
    <mergeCell ref="AB51:AF51"/>
    <mergeCell ref="AG51:AI51"/>
    <mergeCell ref="AJ51:AL51"/>
    <mergeCell ref="AM51:AO51"/>
    <mergeCell ref="B51:D51"/>
    <mergeCell ref="E51:H51"/>
    <mergeCell ref="I51:J51"/>
    <mergeCell ref="K51:L51"/>
    <mergeCell ref="M51:N51"/>
    <mergeCell ref="O51:P51"/>
    <mergeCell ref="Q51:W51"/>
    <mergeCell ref="X52:AA52"/>
    <mergeCell ref="AB52:AF52"/>
    <mergeCell ref="AG52:AI52"/>
    <mergeCell ref="AJ52:AL52"/>
    <mergeCell ref="AM52:AO52"/>
    <mergeCell ref="B52:D52"/>
    <mergeCell ref="E52:H52"/>
    <mergeCell ref="I52:J52"/>
    <mergeCell ref="K52:L52"/>
    <mergeCell ref="M52:N52"/>
    <mergeCell ref="O52:P52"/>
    <mergeCell ref="Q52:W52"/>
    <mergeCell ref="X53:AA53"/>
    <mergeCell ref="AB53:AF53"/>
    <mergeCell ref="AG53:AI53"/>
    <mergeCell ref="AJ53:AL53"/>
    <mergeCell ref="AM53:AO53"/>
    <mergeCell ref="B53:D53"/>
    <mergeCell ref="E53:H53"/>
    <mergeCell ref="I53:J53"/>
    <mergeCell ref="K53:L53"/>
    <mergeCell ref="M53:N53"/>
    <mergeCell ref="O53:P53"/>
    <mergeCell ref="Q53:W53"/>
    <mergeCell ref="X54:AA54"/>
    <mergeCell ref="AB54:AF54"/>
    <mergeCell ref="AG54:AI54"/>
    <mergeCell ref="AJ54:AL54"/>
    <mergeCell ref="AM54:AO54"/>
    <mergeCell ref="B54:D54"/>
    <mergeCell ref="E54:H54"/>
    <mergeCell ref="I54:J54"/>
    <mergeCell ref="K54:L54"/>
    <mergeCell ref="M54:N54"/>
    <mergeCell ref="O54:P54"/>
    <mergeCell ref="Q54:W54"/>
    <mergeCell ref="X55:AA55"/>
    <mergeCell ref="AB55:AF55"/>
    <mergeCell ref="AG55:AI55"/>
    <mergeCell ref="AJ55:AL55"/>
    <mergeCell ref="AM55:AO55"/>
    <mergeCell ref="B55:D55"/>
    <mergeCell ref="E55:H55"/>
    <mergeCell ref="I55:J55"/>
    <mergeCell ref="K55:L55"/>
    <mergeCell ref="M55:N55"/>
    <mergeCell ref="O55:P55"/>
    <mergeCell ref="Q55:W55"/>
    <mergeCell ref="X56:AA56"/>
    <mergeCell ref="AB56:AF56"/>
    <mergeCell ref="AG56:AI56"/>
    <mergeCell ref="AJ56:AL56"/>
    <mergeCell ref="AM56:AO56"/>
    <mergeCell ref="B56:D56"/>
    <mergeCell ref="E56:H56"/>
    <mergeCell ref="I56:J56"/>
    <mergeCell ref="K56:L56"/>
    <mergeCell ref="M56:N56"/>
    <mergeCell ref="O56:P56"/>
    <mergeCell ref="Q56:W56"/>
    <mergeCell ref="X57:AA57"/>
    <mergeCell ref="AB57:AF57"/>
    <mergeCell ref="AG57:AI57"/>
    <mergeCell ref="AJ57:AL57"/>
    <mergeCell ref="AM57:AO57"/>
    <mergeCell ref="B57:D57"/>
    <mergeCell ref="E57:H57"/>
    <mergeCell ref="I57:J57"/>
    <mergeCell ref="K57:L57"/>
    <mergeCell ref="M57:N57"/>
    <mergeCell ref="O57:P57"/>
    <mergeCell ref="Q57:W57"/>
    <mergeCell ref="X58:AA58"/>
    <mergeCell ref="AB58:AF58"/>
    <mergeCell ref="AG58:AI58"/>
    <mergeCell ref="AJ58:AL58"/>
    <mergeCell ref="AM58:AO58"/>
    <mergeCell ref="B58:D58"/>
    <mergeCell ref="E58:H58"/>
    <mergeCell ref="I58:J58"/>
    <mergeCell ref="K58:L58"/>
    <mergeCell ref="M58:N58"/>
    <mergeCell ref="O58:P58"/>
    <mergeCell ref="Q58:W58"/>
    <mergeCell ref="X59:AA59"/>
    <mergeCell ref="AB59:AF59"/>
    <mergeCell ref="AG59:AI59"/>
    <mergeCell ref="AJ59:AL59"/>
    <mergeCell ref="AM59:AO59"/>
    <mergeCell ref="B59:D59"/>
    <mergeCell ref="E59:H59"/>
    <mergeCell ref="I59:J59"/>
    <mergeCell ref="K59:L59"/>
    <mergeCell ref="M59:N59"/>
    <mergeCell ref="O59:P59"/>
    <mergeCell ref="Q59:W59"/>
    <mergeCell ref="X60:AA60"/>
    <mergeCell ref="AB60:AF60"/>
    <mergeCell ref="AG60:AI60"/>
    <mergeCell ref="AJ60:AL60"/>
    <mergeCell ref="AM60:AO60"/>
    <mergeCell ref="B60:D60"/>
    <mergeCell ref="E60:H60"/>
    <mergeCell ref="I60:J60"/>
    <mergeCell ref="K60:L60"/>
    <mergeCell ref="M60:N60"/>
    <mergeCell ref="O60:P60"/>
    <mergeCell ref="Q60:W60"/>
    <mergeCell ref="X61:AA61"/>
    <mergeCell ref="AB61:AF61"/>
    <mergeCell ref="AG61:AI61"/>
    <mergeCell ref="AJ61:AL61"/>
    <mergeCell ref="AM61:AO61"/>
    <mergeCell ref="B61:D61"/>
    <mergeCell ref="E61:H61"/>
    <mergeCell ref="I61:J61"/>
    <mergeCell ref="K61:L61"/>
    <mergeCell ref="M61:N61"/>
    <mergeCell ref="O61:P61"/>
    <mergeCell ref="Q61:W61"/>
    <mergeCell ref="X62:AA62"/>
    <mergeCell ref="AB62:AF62"/>
    <mergeCell ref="AG62:AI62"/>
    <mergeCell ref="AJ62:AL62"/>
    <mergeCell ref="AM62:AO62"/>
    <mergeCell ref="B62:D62"/>
    <mergeCell ref="E62:H62"/>
    <mergeCell ref="I62:J62"/>
    <mergeCell ref="K62:L62"/>
    <mergeCell ref="M62:N62"/>
    <mergeCell ref="O62:P62"/>
    <mergeCell ref="Q62:W62"/>
    <mergeCell ref="X63:AA63"/>
    <mergeCell ref="AB63:AF63"/>
    <mergeCell ref="AG63:AI63"/>
    <mergeCell ref="AJ63:AL63"/>
    <mergeCell ref="AM63:AO63"/>
    <mergeCell ref="B63:D63"/>
    <mergeCell ref="E63:H63"/>
    <mergeCell ref="I63:J63"/>
    <mergeCell ref="K63:L63"/>
    <mergeCell ref="M63:N63"/>
    <mergeCell ref="O63:P63"/>
    <mergeCell ref="Q63:W63"/>
    <mergeCell ref="X64:AA64"/>
    <mergeCell ref="AB64:AF64"/>
    <mergeCell ref="AG64:AI64"/>
    <mergeCell ref="AJ64:AL64"/>
    <mergeCell ref="AM64:AO64"/>
    <mergeCell ref="B64:D64"/>
    <mergeCell ref="E64:H64"/>
    <mergeCell ref="I64:J64"/>
    <mergeCell ref="K64:L64"/>
    <mergeCell ref="M64:N64"/>
    <mergeCell ref="O64:P64"/>
    <mergeCell ref="Q64:W64"/>
    <mergeCell ref="X65:AA65"/>
    <mergeCell ref="AB65:AF65"/>
    <mergeCell ref="AG65:AI65"/>
    <mergeCell ref="AJ65:AL65"/>
    <mergeCell ref="AM65:AO65"/>
    <mergeCell ref="B65:D65"/>
    <mergeCell ref="E65:H65"/>
    <mergeCell ref="I65:J65"/>
    <mergeCell ref="K65:L65"/>
    <mergeCell ref="M65:N65"/>
    <mergeCell ref="O65:P65"/>
    <mergeCell ref="Q65:W65"/>
    <mergeCell ref="X66:AA66"/>
    <mergeCell ref="AB66:AF66"/>
    <mergeCell ref="AG66:AI66"/>
    <mergeCell ref="AJ66:AL66"/>
    <mergeCell ref="AM66:AO66"/>
    <mergeCell ref="B66:D66"/>
    <mergeCell ref="E66:H66"/>
    <mergeCell ref="I66:J66"/>
    <mergeCell ref="K66:L66"/>
    <mergeCell ref="M66:N66"/>
    <mergeCell ref="O66:P66"/>
    <mergeCell ref="Q66:W66"/>
    <mergeCell ref="X67:AA67"/>
    <mergeCell ref="AB67:AF67"/>
    <mergeCell ref="AG67:AI67"/>
    <mergeCell ref="AJ67:AL67"/>
    <mergeCell ref="AM67:AO67"/>
    <mergeCell ref="B67:D67"/>
    <mergeCell ref="E67:H67"/>
    <mergeCell ref="I67:J67"/>
    <mergeCell ref="K67:L67"/>
    <mergeCell ref="M67:N67"/>
    <mergeCell ref="O67:P67"/>
    <mergeCell ref="Q67:W67"/>
    <mergeCell ref="X68:AA68"/>
    <mergeCell ref="AB68:AF68"/>
    <mergeCell ref="AG68:AI68"/>
    <mergeCell ref="AJ68:AL68"/>
    <mergeCell ref="AM68:AO68"/>
    <mergeCell ref="B68:D68"/>
    <mergeCell ref="E68:H68"/>
    <mergeCell ref="I68:J68"/>
    <mergeCell ref="K68:L68"/>
    <mergeCell ref="M68:N68"/>
    <mergeCell ref="O68:P68"/>
    <mergeCell ref="Q68:W68"/>
    <mergeCell ref="X69:AA69"/>
    <mergeCell ref="AB69:AF69"/>
    <mergeCell ref="AG69:AI69"/>
    <mergeCell ref="AJ69:AL69"/>
    <mergeCell ref="AM69:AO69"/>
    <mergeCell ref="B69:D69"/>
    <mergeCell ref="E69:H69"/>
    <mergeCell ref="I69:J69"/>
    <mergeCell ref="K69:L69"/>
    <mergeCell ref="M69:N69"/>
    <mergeCell ref="O69:P69"/>
    <mergeCell ref="Q69:W69"/>
    <mergeCell ref="X70:AA70"/>
    <mergeCell ref="AB70:AF70"/>
    <mergeCell ref="AG70:AI70"/>
    <mergeCell ref="AJ70:AL70"/>
    <mergeCell ref="AM70:AO70"/>
    <mergeCell ref="B70:D70"/>
    <mergeCell ref="E70:H70"/>
    <mergeCell ref="I70:J70"/>
    <mergeCell ref="K70:L70"/>
    <mergeCell ref="M70:N70"/>
    <mergeCell ref="O70:P70"/>
    <mergeCell ref="Q70:W70"/>
    <mergeCell ref="X71:AA71"/>
    <mergeCell ref="AB71:AF71"/>
    <mergeCell ref="AG71:AI71"/>
    <mergeCell ref="AJ71:AL71"/>
    <mergeCell ref="AM71:AO71"/>
    <mergeCell ref="B71:D71"/>
    <mergeCell ref="E71:H71"/>
    <mergeCell ref="I71:J71"/>
    <mergeCell ref="K71:L71"/>
    <mergeCell ref="M71:N71"/>
    <mergeCell ref="O71:P71"/>
    <mergeCell ref="Q71:W71"/>
    <mergeCell ref="X72:AA72"/>
    <mergeCell ref="AB72:AF72"/>
    <mergeCell ref="AG72:AI72"/>
    <mergeCell ref="AJ72:AL72"/>
    <mergeCell ref="AM72:AO72"/>
    <mergeCell ref="B72:D72"/>
    <mergeCell ref="E72:H72"/>
    <mergeCell ref="I72:J72"/>
    <mergeCell ref="K72:L72"/>
    <mergeCell ref="M72:N72"/>
    <mergeCell ref="O72:P72"/>
    <mergeCell ref="Q72:W72"/>
    <mergeCell ref="X73:AA73"/>
    <mergeCell ref="AB73:AF73"/>
    <mergeCell ref="AG73:AI73"/>
    <mergeCell ref="AJ73:AL73"/>
    <mergeCell ref="AM73:AO73"/>
    <mergeCell ref="B73:D73"/>
    <mergeCell ref="E73:H73"/>
    <mergeCell ref="I73:J73"/>
    <mergeCell ref="K73:L73"/>
    <mergeCell ref="M73:N73"/>
    <mergeCell ref="O73:P73"/>
    <mergeCell ref="Q73:W73"/>
    <mergeCell ref="X74:AA74"/>
    <mergeCell ref="AB74:AF74"/>
    <mergeCell ref="AG74:AI74"/>
    <mergeCell ref="AJ74:AL74"/>
    <mergeCell ref="AM74:AO74"/>
    <mergeCell ref="B74:D74"/>
    <mergeCell ref="E74:H74"/>
    <mergeCell ref="I74:J74"/>
    <mergeCell ref="K74:L74"/>
    <mergeCell ref="M74:N74"/>
    <mergeCell ref="O74:P74"/>
    <mergeCell ref="Q74:W74"/>
    <mergeCell ref="X75:AA75"/>
    <mergeCell ref="AB75:AF75"/>
    <mergeCell ref="AG75:AI75"/>
    <mergeCell ref="AJ75:AL75"/>
    <mergeCell ref="AM75:AO75"/>
    <mergeCell ref="B75:D75"/>
    <mergeCell ref="E75:H75"/>
    <mergeCell ref="I75:J75"/>
    <mergeCell ref="K75:L75"/>
    <mergeCell ref="M75:N75"/>
    <mergeCell ref="O75:P75"/>
    <mergeCell ref="Q75:W75"/>
    <mergeCell ref="X76:AA76"/>
    <mergeCell ref="AB76:AF76"/>
    <mergeCell ref="AG76:AI76"/>
    <mergeCell ref="AJ76:AL76"/>
    <mergeCell ref="AM76:AO76"/>
    <mergeCell ref="B76:D76"/>
    <mergeCell ref="E76:H76"/>
    <mergeCell ref="I76:J76"/>
    <mergeCell ref="K76:L76"/>
    <mergeCell ref="M76:N76"/>
    <mergeCell ref="O76:P76"/>
    <mergeCell ref="Q76:W76"/>
    <mergeCell ref="X77:AA77"/>
    <mergeCell ref="AB77:AF77"/>
    <mergeCell ref="AG77:AI77"/>
    <mergeCell ref="AJ77:AL77"/>
    <mergeCell ref="AM77:AO77"/>
    <mergeCell ref="B77:D77"/>
    <mergeCell ref="E77:H77"/>
    <mergeCell ref="I77:J77"/>
    <mergeCell ref="K77:L77"/>
    <mergeCell ref="M77:N77"/>
    <mergeCell ref="O77:P77"/>
    <mergeCell ref="Q77:W77"/>
    <mergeCell ref="X78:AA78"/>
    <mergeCell ref="AB78:AF78"/>
    <mergeCell ref="AG78:AI78"/>
    <mergeCell ref="AJ78:AL78"/>
    <mergeCell ref="AM78:AO78"/>
    <mergeCell ref="B78:D78"/>
    <mergeCell ref="E78:H78"/>
    <mergeCell ref="I78:J78"/>
    <mergeCell ref="K78:L78"/>
    <mergeCell ref="M78:N78"/>
    <mergeCell ref="O78:P78"/>
    <mergeCell ref="Q78:W78"/>
    <mergeCell ref="X79:AA79"/>
    <mergeCell ref="AB79:AF79"/>
    <mergeCell ref="AG79:AI79"/>
    <mergeCell ref="AJ79:AL79"/>
    <mergeCell ref="AM79:AO79"/>
    <mergeCell ref="B79:D79"/>
    <mergeCell ref="E79:H79"/>
    <mergeCell ref="I79:J79"/>
    <mergeCell ref="K79:L79"/>
    <mergeCell ref="M79:N79"/>
    <mergeCell ref="O79:P79"/>
    <mergeCell ref="Q79:W79"/>
    <mergeCell ref="X80:AA80"/>
    <mergeCell ref="AB80:AF80"/>
    <mergeCell ref="AG80:AI80"/>
    <mergeCell ref="AJ80:AL80"/>
    <mergeCell ref="AM80:AO80"/>
    <mergeCell ref="B80:D80"/>
    <mergeCell ref="E80:H80"/>
    <mergeCell ref="I80:J80"/>
    <mergeCell ref="K80:L80"/>
    <mergeCell ref="M80:N80"/>
    <mergeCell ref="O80:P80"/>
    <mergeCell ref="Q80:W80"/>
    <mergeCell ref="X81:AA81"/>
    <mergeCell ref="AB81:AF81"/>
    <mergeCell ref="AG81:AI81"/>
    <mergeCell ref="AJ81:AL81"/>
    <mergeCell ref="AM81:AO81"/>
    <mergeCell ref="B81:D81"/>
    <mergeCell ref="E81:H81"/>
    <mergeCell ref="I81:J81"/>
    <mergeCell ref="K81:L81"/>
    <mergeCell ref="M81:N81"/>
    <mergeCell ref="O81:P81"/>
    <mergeCell ref="Q81:W81"/>
    <mergeCell ref="X82:AA82"/>
    <mergeCell ref="AB82:AF82"/>
    <mergeCell ref="AG82:AI82"/>
    <mergeCell ref="AJ82:AL82"/>
    <mergeCell ref="AM82:AO82"/>
    <mergeCell ref="B82:D82"/>
    <mergeCell ref="E82:H82"/>
    <mergeCell ref="I82:J82"/>
    <mergeCell ref="K82:L82"/>
    <mergeCell ref="M82:N82"/>
    <mergeCell ref="O82:P82"/>
    <mergeCell ref="Q82:W82"/>
    <mergeCell ref="X83:AA83"/>
    <mergeCell ref="AB83:AF83"/>
    <mergeCell ref="AG83:AI83"/>
    <mergeCell ref="AJ83:AL83"/>
    <mergeCell ref="AM83:AO83"/>
    <mergeCell ref="B83:D83"/>
    <mergeCell ref="E83:H83"/>
    <mergeCell ref="I83:J83"/>
    <mergeCell ref="K83:L83"/>
    <mergeCell ref="M83:N83"/>
    <mergeCell ref="O83:P83"/>
    <mergeCell ref="Q83:W83"/>
    <mergeCell ref="X84:AA84"/>
    <mergeCell ref="AB84:AF84"/>
    <mergeCell ref="AG84:AI84"/>
    <mergeCell ref="AJ84:AL84"/>
    <mergeCell ref="AM84:AO84"/>
    <mergeCell ref="B84:D84"/>
    <mergeCell ref="E84:H84"/>
    <mergeCell ref="I84:J84"/>
    <mergeCell ref="K84:L84"/>
    <mergeCell ref="M84:N84"/>
    <mergeCell ref="O84:P84"/>
    <mergeCell ref="Q84:W84"/>
    <mergeCell ref="X85:AA85"/>
    <mergeCell ref="AB85:AF85"/>
    <mergeCell ref="AG85:AI85"/>
    <mergeCell ref="AJ85:AL85"/>
    <mergeCell ref="AM85:AO85"/>
    <mergeCell ref="B85:D85"/>
    <mergeCell ref="E85:H85"/>
    <mergeCell ref="I85:J85"/>
    <mergeCell ref="K85:L85"/>
    <mergeCell ref="M85:N85"/>
    <mergeCell ref="O85:P85"/>
    <mergeCell ref="Q85:W85"/>
    <mergeCell ref="X86:AA86"/>
    <mergeCell ref="AB86:AF86"/>
    <mergeCell ref="AG86:AI86"/>
    <mergeCell ref="AJ86:AL86"/>
    <mergeCell ref="AM86:AO86"/>
    <mergeCell ref="B86:D86"/>
    <mergeCell ref="E86:H86"/>
    <mergeCell ref="I86:J86"/>
    <mergeCell ref="K86:L86"/>
    <mergeCell ref="M86:N86"/>
    <mergeCell ref="O86:P86"/>
    <mergeCell ref="Q86:W86"/>
    <mergeCell ref="X87:AA87"/>
    <mergeCell ref="AB87:AF87"/>
    <mergeCell ref="AG87:AI87"/>
    <mergeCell ref="AJ87:AL87"/>
    <mergeCell ref="AM87:AO87"/>
    <mergeCell ref="B87:D87"/>
    <mergeCell ref="E87:H87"/>
    <mergeCell ref="I87:J87"/>
    <mergeCell ref="K87:L87"/>
    <mergeCell ref="M87:N87"/>
    <mergeCell ref="O87:P87"/>
    <mergeCell ref="Q87:W87"/>
    <mergeCell ref="X88:AA88"/>
    <mergeCell ref="AB88:AF88"/>
    <mergeCell ref="AG88:AI88"/>
    <mergeCell ref="AJ88:AL88"/>
    <mergeCell ref="AM88:AO88"/>
    <mergeCell ref="B88:D88"/>
    <mergeCell ref="E88:H88"/>
    <mergeCell ref="I88:J88"/>
    <mergeCell ref="K88:L88"/>
    <mergeCell ref="M88:N88"/>
    <mergeCell ref="O88:P88"/>
    <mergeCell ref="Q88:W88"/>
    <mergeCell ref="X89:AA89"/>
    <mergeCell ref="AB89:AF89"/>
    <mergeCell ref="AG89:AI89"/>
    <mergeCell ref="AJ89:AL89"/>
    <mergeCell ref="AM89:AO89"/>
    <mergeCell ref="B89:D89"/>
    <mergeCell ref="E89:H89"/>
    <mergeCell ref="I89:J89"/>
    <mergeCell ref="K89:L89"/>
    <mergeCell ref="M89:N89"/>
    <mergeCell ref="O89:P89"/>
    <mergeCell ref="Q89:W89"/>
    <mergeCell ref="X90:AA90"/>
    <mergeCell ref="AB90:AF90"/>
    <mergeCell ref="AG90:AI90"/>
    <mergeCell ref="AJ90:AL90"/>
    <mergeCell ref="AM90:AO90"/>
    <mergeCell ref="B90:D90"/>
    <mergeCell ref="E90:H90"/>
    <mergeCell ref="I90:J90"/>
    <mergeCell ref="K90:L90"/>
    <mergeCell ref="M90:N90"/>
    <mergeCell ref="O90:P90"/>
    <mergeCell ref="Q90:W90"/>
    <mergeCell ref="X91:AA91"/>
    <mergeCell ref="AB91:AF91"/>
    <mergeCell ref="AG91:AI91"/>
    <mergeCell ref="AJ91:AL91"/>
    <mergeCell ref="AM91:AO91"/>
    <mergeCell ref="B91:D91"/>
    <mergeCell ref="E91:H91"/>
    <mergeCell ref="I91:J91"/>
    <mergeCell ref="K91:L91"/>
    <mergeCell ref="M91:N91"/>
    <mergeCell ref="O91:P91"/>
    <mergeCell ref="Q91:W91"/>
    <mergeCell ref="X92:AA92"/>
    <mergeCell ref="AB92:AF92"/>
    <mergeCell ref="AG92:AI92"/>
    <mergeCell ref="AJ92:AL92"/>
    <mergeCell ref="AM92:AO92"/>
    <mergeCell ref="B92:D92"/>
    <mergeCell ref="E92:H92"/>
    <mergeCell ref="I92:J92"/>
    <mergeCell ref="K92:L92"/>
    <mergeCell ref="M92:N92"/>
    <mergeCell ref="O92:P92"/>
    <mergeCell ref="Q92:W92"/>
    <mergeCell ref="X93:AA93"/>
    <mergeCell ref="AB93:AF93"/>
    <mergeCell ref="AG93:AI93"/>
    <mergeCell ref="AJ93:AL93"/>
    <mergeCell ref="AM93:AO93"/>
    <mergeCell ref="B93:D93"/>
    <mergeCell ref="E93:H93"/>
    <mergeCell ref="I93:J93"/>
    <mergeCell ref="K93:L93"/>
    <mergeCell ref="M93:N93"/>
    <mergeCell ref="O93:P93"/>
    <mergeCell ref="Q93:W93"/>
    <mergeCell ref="X94:AA94"/>
    <mergeCell ref="AB94:AF94"/>
    <mergeCell ref="AG94:AI94"/>
    <mergeCell ref="AJ94:AL94"/>
    <mergeCell ref="AM94:AO94"/>
    <mergeCell ref="B94:D94"/>
    <mergeCell ref="E94:H94"/>
    <mergeCell ref="I94:J94"/>
    <mergeCell ref="K94:L94"/>
    <mergeCell ref="M94:N94"/>
    <mergeCell ref="O94:P94"/>
    <mergeCell ref="Q94:W94"/>
    <mergeCell ref="X95:AA95"/>
    <mergeCell ref="AB95:AF95"/>
    <mergeCell ref="AG95:AI95"/>
    <mergeCell ref="AJ95:AL95"/>
    <mergeCell ref="AM95:AO95"/>
    <mergeCell ref="B95:D95"/>
    <mergeCell ref="E95:H95"/>
    <mergeCell ref="I95:J95"/>
    <mergeCell ref="K95:L95"/>
    <mergeCell ref="M95:N95"/>
    <mergeCell ref="O95:P95"/>
    <mergeCell ref="Q95:W95"/>
    <mergeCell ref="X96:AA96"/>
    <mergeCell ref="AB96:AF96"/>
    <mergeCell ref="AG96:AI96"/>
    <mergeCell ref="AJ96:AL96"/>
    <mergeCell ref="AM96:AO96"/>
    <mergeCell ref="B96:D96"/>
    <mergeCell ref="E96:H96"/>
    <mergeCell ref="I96:J96"/>
    <mergeCell ref="K96:L96"/>
    <mergeCell ref="M96:N96"/>
    <mergeCell ref="O96:P96"/>
    <mergeCell ref="Q96:W96"/>
    <mergeCell ref="X97:AA97"/>
    <mergeCell ref="AB97:AF97"/>
    <mergeCell ref="AG97:AI97"/>
    <mergeCell ref="AJ97:AL97"/>
    <mergeCell ref="AM97:AO97"/>
    <mergeCell ref="B97:D97"/>
    <mergeCell ref="E97:H97"/>
    <mergeCell ref="I97:J97"/>
    <mergeCell ref="K97:L97"/>
    <mergeCell ref="M97:N97"/>
    <mergeCell ref="O97:P97"/>
    <mergeCell ref="Q97:W97"/>
    <mergeCell ref="X98:AA98"/>
    <mergeCell ref="AB98:AF98"/>
    <mergeCell ref="AG98:AI98"/>
    <mergeCell ref="AJ98:AL98"/>
    <mergeCell ref="AM98:AO98"/>
    <mergeCell ref="B98:D98"/>
    <mergeCell ref="E98:H98"/>
    <mergeCell ref="I98:J98"/>
    <mergeCell ref="K98:L98"/>
    <mergeCell ref="M98:N98"/>
    <mergeCell ref="O98:P98"/>
    <mergeCell ref="Q98:W98"/>
    <mergeCell ref="X99:AA99"/>
    <mergeCell ref="AB99:AF99"/>
    <mergeCell ref="AG99:AI99"/>
    <mergeCell ref="AJ99:AL99"/>
    <mergeCell ref="AM99:AO99"/>
    <mergeCell ref="B99:D99"/>
    <mergeCell ref="E99:H99"/>
    <mergeCell ref="I99:J99"/>
    <mergeCell ref="K99:L99"/>
    <mergeCell ref="M99:N99"/>
    <mergeCell ref="O99:P99"/>
    <mergeCell ref="Q99:W99"/>
    <mergeCell ref="X100:AA100"/>
    <mergeCell ref="AB100:AF100"/>
    <mergeCell ref="AG100:AI100"/>
    <mergeCell ref="AJ100:AL100"/>
    <mergeCell ref="AM100:AO100"/>
    <mergeCell ref="B100:D100"/>
    <mergeCell ref="E100:H100"/>
    <mergeCell ref="I100:J100"/>
    <mergeCell ref="K100:L100"/>
    <mergeCell ref="M100:N100"/>
    <mergeCell ref="O100:P100"/>
    <mergeCell ref="Q100:W100"/>
    <mergeCell ref="X101:AA101"/>
    <mergeCell ref="AB101:AF101"/>
    <mergeCell ref="AG101:AI101"/>
    <mergeCell ref="AJ101:AL101"/>
    <mergeCell ref="AM101:AO101"/>
    <mergeCell ref="B101:D101"/>
    <mergeCell ref="E101:H101"/>
    <mergeCell ref="I101:J101"/>
    <mergeCell ref="K101:L101"/>
    <mergeCell ref="M101:N101"/>
    <mergeCell ref="O101:P101"/>
    <mergeCell ref="Q101:W101"/>
    <mergeCell ref="X102:AA102"/>
    <mergeCell ref="AB102:AF102"/>
    <mergeCell ref="AG102:AI102"/>
    <mergeCell ref="AJ102:AL102"/>
    <mergeCell ref="AM102:AO102"/>
    <mergeCell ref="B102:D102"/>
    <mergeCell ref="E102:H102"/>
    <mergeCell ref="I102:J102"/>
    <mergeCell ref="K102:L102"/>
    <mergeCell ref="M102:N102"/>
    <mergeCell ref="O102:P102"/>
    <mergeCell ref="Q102:W102"/>
    <mergeCell ref="X103:AA103"/>
    <mergeCell ref="AB103:AF103"/>
    <mergeCell ref="AG103:AI103"/>
    <mergeCell ref="AJ103:AL103"/>
    <mergeCell ref="AM103:AO103"/>
    <mergeCell ref="B103:D103"/>
    <mergeCell ref="E103:H103"/>
    <mergeCell ref="I103:J103"/>
    <mergeCell ref="K103:L103"/>
    <mergeCell ref="M103:N103"/>
    <mergeCell ref="O103:P103"/>
    <mergeCell ref="Q103:W103"/>
    <mergeCell ref="X104:AA104"/>
    <mergeCell ref="AB104:AF104"/>
    <mergeCell ref="AG104:AI104"/>
    <mergeCell ref="AJ104:AL104"/>
    <mergeCell ref="AM104:AO104"/>
    <mergeCell ref="B104:D104"/>
    <mergeCell ref="E104:H104"/>
    <mergeCell ref="I104:J104"/>
    <mergeCell ref="K104:L104"/>
    <mergeCell ref="M104:N104"/>
    <mergeCell ref="O104:P104"/>
    <mergeCell ref="Q104:W104"/>
    <mergeCell ref="X105:AA105"/>
    <mergeCell ref="AB105:AF105"/>
    <mergeCell ref="AG105:AI105"/>
    <mergeCell ref="AJ105:AL105"/>
    <mergeCell ref="AM105:AO105"/>
    <mergeCell ref="B105:D105"/>
    <mergeCell ref="E105:H105"/>
    <mergeCell ref="I105:J105"/>
    <mergeCell ref="K105:L105"/>
    <mergeCell ref="M105:N105"/>
    <mergeCell ref="O105:P105"/>
    <mergeCell ref="Q105:W105"/>
    <mergeCell ref="X155:AA155"/>
    <mergeCell ref="AB155:AF155"/>
    <mergeCell ref="AG155:AI155"/>
    <mergeCell ref="AJ155:AL155"/>
    <mergeCell ref="AM155:AO155"/>
    <mergeCell ref="B155:D155"/>
    <mergeCell ref="E155:H155"/>
    <mergeCell ref="I155:J155"/>
    <mergeCell ref="K155:L155"/>
    <mergeCell ref="M155:N155"/>
    <mergeCell ref="O155:P155"/>
    <mergeCell ref="Q155:W155"/>
    <mergeCell ref="X156:AA156"/>
    <mergeCell ref="AB156:AF156"/>
    <mergeCell ref="AG156:AI156"/>
    <mergeCell ref="AJ156:AL156"/>
    <mergeCell ref="AM156:AO156"/>
    <mergeCell ref="B156:D156"/>
    <mergeCell ref="E156:H156"/>
    <mergeCell ref="I156:J156"/>
    <mergeCell ref="K156:L156"/>
    <mergeCell ref="M156:N156"/>
    <mergeCell ref="O156:P156"/>
    <mergeCell ref="Q156:W156"/>
    <mergeCell ref="X157:AA157"/>
    <mergeCell ref="AB157:AF157"/>
    <mergeCell ref="AG157:AI157"/>
    <mergeCell ref="AJ157:AL157"/>
    <mergeCell ref="AM157:AO157"/>
    <mergeCell ref="B157:D157"/>
    <mergeCell ref="E157:H157"/>
    <mergeCell ref="I157:J157"/>
    <mergeCell ref="K157:L157"/>
    <mergeCell ref="M157:N157"/>
    <mergeCell ref="O157:P157"/>
    <mergeCell ref="Q157:W157"/>
    <mergeCell ref="X158:AA158"/>
    <mergeCell ref="AB158:AF158"/>
    <mergeCell ref="AG158:AI158"/>
    <mergeCell ref="AJ158:AL158"/>
    <mergeCell ref="AM158:AO158"/>
    <mergeCell ref="B158:D158"/>
    <mergeCell ref="E158:H158"/>
    <mergeCell ref="I158:J158"/>
    <mergeCell ref="K158:L158"/>
    <mergeCell ref="M158:N158"/>
    <mergeCell ref="O158:P158"/>
    <mergeCell ref="Q158:W158"/>
    <mergeCell ref="X159:AA159"/>
    <mergeCell ref="AB159:AF159"/>
    <mergeCell ref="AG159:AI159"/>
    <mergeCell ref="AJ159:AL159"/>
    <mergeCell ref="AM159:AO159"/>
    <mergeCell ref="B159:D159"/>
    <mergeCell ref="E159:H159"/>
    <mergeCell ref="I159:J159"/>
    <mergeCell ref="K159:L159"/>
    <mergeCell ref="M159:N159"/>
    <mergeCell ref="O159:P159"/>
    <mergeCell ref="Q159:W159"/>
    <mergeCell ref="X160:AA160"/>
    <mergeCell ref="AB160:AF160"/>
    <mergeCell ref="AG160:AI160"/>
    <mergeCell ref="AJ160:AL160"/>
    <mergeCell ref="AM160:AO160"/>
    <mergeCell ref="B160:D160"/>
    <mergeCell ref="E160:H160"/>
    <mergeCell ref="I160:J160"/>
    <mergeCell ref="K160:L160"/>
    <mergeCell ref="M160:N160"/>
    <mergeCell ref="O160:P160"/>
    <mergeCell ref="Q160:W160"/>
    <mergeCell ref="X161:AA161"/>
    <mergeCell ref="AB161:AF161"/>
    <mergeCell ref="AG161:AI161"/>
    <mergeCell ref="AJ161:AL161"/>
    <mergeCell ref="AM161:AO161"/>
    <mergeCell ref="B161:D161"/>
    <mergeCell ref="E161:H161"/>
    <mergeCell ref="I161:J161"/>
    <mergeCell ref="K161:L161"/>
    <mergeCell ref="M161:N161"/>
    <mergeCell ref="O161:P161"/>
    <mergeCell ref="Q161:W161"/>
    <mergeCell ref="X162:AA162"/>
    <mergeCell ref="AB162:AF162"/>
    <mergeCell ref="AG162:AI162"/>
    <mergeCell ref="AJ162:AL162"/>
    <mergeCell ref="AM162:AO162"/>
    <mergeCell ref="B162:D162"/>
    <mergeCell ref="E162:H162"/>
    <mergeCell ref="I162:J162"/>
    <mergeCell ref="K162:L162"/>
    <mergeCell ref="M162:N162"/>
    <mergeCell ref="O162:P162"/>
    <mergeCell ref="Q162:W162"/>
    <mergeCell ref="X163:AA163"/>
    <mergeCell ref="AB163:AF163"/>
    <mergeCell ref="AG163:AI163"/>
    <mergeCell ref="AJ163:AL163"/>
    <mergeCell ref="AM163:AO163"/>
    <mergeCell ref="B163:D163"/>
    <mergeCell ref="E163:H163"/>
    <mergeCell ref="I163:J163"/>
    <mergeCell ref="K163:L163"/>
    <mergeCell ref="M163:N163"/>
    <mergeCell ref="O163:P163"/>
    <mergeCell ref="Q163:W163"/>
    <mergeCell ref="X164:AA164"/>
    <mergeCell ref="AB164:AF164"/>
    <mergeCell ref="AG164:AI164"/>
    <mergeCell ref="AJ164:AL164"/>
    <mergeCell ref="AM164:AO164"/>
    <mergeCell ref="B164:D164"/>
    <mergeCell ref="E164:H164"/>
    <mergeCell ref="I164:J164"/>
    <mergeCell ref="K164:L164"/>
    <mergeCell ref="M164:N164"/>
    <mergeCell ref="O164:P164"/>
    <mergeCell ref="Q164:W164"/>
    <mergeCell ref="X165:AA165"/>
    <mergeCell ref="AB165:AF165"/>
    <mergeCell ref="AG165:AI165"/>
    <mergeCell ref="AJ165:AL165"/>
    <mergeCell ref="AM165:AO165"/>
    <mergeCell ref="B165:D165"/>
    <mergeCell ref="E165:H165"/>
    <mergeCell ref="I165:J165"/>
    <mergeCell ref="K165:L165"/>
    <mergeCell ref="M165:N165"/>
    <mergeCell ref="O165:P165"/>
    <mergeCell ref="Q165:W165"/>
    <mergeCell ref="X166:AA166"/>
    <mergeCell ref="AB166:AF166"/>
    <mergeCell ref="AG166:AI166"/>
    <mergeCell ref="AJ166:AL166"/>
    <mergeCell ref="AM166:AO166"/>
    <mergeCell ref="B166:D166"/>
    <mergeCell ref="E166:H166"/>
    <mergeCell ref="I166:J166"/>
    <mergeCell ref="K166:L166"/>
    <mergeCell ref="M166:N166"/>
    <mergeCell ref="O166:P166"/>
    <mergeCell ref="Q166:W166"/>
    <mergeCell ref="X167:AA167"/>
    <mergeCell ref="AB167:AF167"/>
    <mergeCell ref="AG167:AI167"/>
    <mergeCell ref="AJ167:AL167"/>
    <mergeCell ref="AM167:AO167"/>
    <mergeCell ref="B167:D167"/>
    <mergeCell ref="E167:H167"/>
    <mergeCell ref="I167:J167"/>
    <mergeCell ref="K167:L167"/>
    <mergeCell ref="M167:N167"/>
    <mergeCell ref="O167:P167"/>
    <mergeCell ref="Q167:W167"/>
    <mergeCell ref="X168:AA168"/>
    <mergeCell ref="AB168:AF168"/>
    <mergeCell ref="AG168:AI168"/>
    <mergeCell ref="AJ168:AL168"/>
    <mergeCell ref="AM168:AO168"/>
    <mergeCell ref="B168:D168"/>
    <mergeCell ref="E168:H168"/>
    <mergeCell ref="I168:J168"/>
    <mergeCell ref="K168:L168"/>
    <mergeCell ref="M168:N168"/>
    <mergeCell ref="O168:P168"/>
    <mergeCell ref="Q168:W168"/>
    <mergeCell ref="X169:AA169"/>
    <mergeCell ref="AB169:AF169"/>
    <mergeCell ref="AG169:AI169"/>
    <mergeCell ref="AJ169:AL169"/>
    <mergeCell ref="AM169:AO169"/>
    <mergeCell ref="B169:D169"/>
    <mergeCell ref="E169:H169"/>
    <mergeCell ref="I169:J169"/>
    <mergeCell ref="K169:L169"/>
    <mergeCell ref="M169:N169"/>
    <mergeCell ref="O169:P169"/>
    <mergeCell ref="Q169:W169"/>
    <mergeCell ref="X170:AA170"/>
    <mergeCell ref="AB170:AF170"/>
    <mergeCell ref="AG170:AI170"/>
    <mergeCell ref="AJ170:AL170"/>
    <mergeCell ref="AM170:AO170"/>
    <mergeCell ref="B170:D170"/>
    <mergeCell ref="E170:H170"/>
    <mergeCell ref="I170:J170"/>
    <mergeCell ref="K170:L170"/>
    <mergeCell ref="M170:N170"/>
    <mergeCell ref="O170:P170"/>
    <mergeCell ref="Q170:W170"/>
    <mergeCell ref="X171:AA171"/>
    <mergeCell ref="AB171:AF171"/>
    <mergeCell ref="AG171:AI171"/>
    <mergeCell ref="AJ171:AL171"/>
    <mergeCell ref="AM171:AO171"/>
    <mergeCell ref="B171:D171"/>
    <mergeCell ref="E171:H171"/>
    <mergeCell ref="I171:J171"/>
    <mergeCell ref="K171:L171"/>
    <mergeCell ref="M171:N171"/>
    <mergeCell ref="O171:P171"/>
    <mergeCell ref="Q171:W171"/>
    <mergeCell ref="X172:AA172"/>
    <mergeCell ref="AB172:AF172"/>
    <mergeCell ref="AG172:AI172"/>
    <mergeCell ref="AJ172:AL172"/>
    <mergeCell ref="AM172:AO172"/>
    <mergeCell ref="B172:D172"/>
    <mergeCell ref="E172:H172"/>
    <mergeCell ref="I172:J172"/>
    <mergeCell ref="K172:L172"/>
    <mergeCell ref="M172:N172"/>
    <mergeCell ref="O172:P172"/>
    <mergeCell ref="Q172:W172"/>
    <mergeCell ref="X173:AA173"/>
    <mergeCell ref="AB173:AF173"/>
    <mergeCell ref="AG173:AI173"/>
    <mergeCell ref="AJ173:AL173"/>
    <mergeCell ref="AM173:AO173"/>
    <mergeCell ref="B173:D173"/>
    <mergeCell ref="E173:H173"/>
    <mergeCell ref="I173:J173"/>
    <mergeCell ref="K173:L173"/>
    <mergeCell ref="M173:N173"/>
    <mergeCell ref="O173:P173"/>
    <mergeCell ref="Q173:W173"/>
    <mergeCell ref="X174:AA174"/>
    <mergeCell ref="AB174:AF174"/>
    <mergeCell ref="AG174:AI174"/>
    <mergeCell ref="AJ174:AL174"/>
    <mergeCell ref="AM174:AO174"/>
    <mergeCell ref="B174:D174"/>
    <mergeCell ref="E174:H174"/>
    <mergeCell ref="I174:J174"/>
    <mergeCell ref="K174:L174"/>
    <mergeCell ref="M174:N174"/>
    <mergeCell ref="O174:P174"/>
    <mergeCell ref="Q174:W174"/>
    <mergeCell ref="X175:AA175"/>
    <mergeCell ref="AB175:AF175"/>
    <mergeCell ref="AG175:AI175"/>
    <mergeCell ref="AJ175:AL175"/>
    <mergeCell ref="AM175:AO175"/>
    <mergeCell ref="B175:D175"/>
    <mergeCell ref="E175:H175"/>
    <mergeCell ref="I175:J175"/>
    <mergeCell ref="K175:L175"/>
    <mergeCell ref="M175:N175"/>
    <mergeCell ref="O175:P175"/>
    <mergeCell ref="Q175:W175"/>
    <mergeCell ref="X176:AA176"/>
    <mergeCell ref="AB176:AF176"/>
    <mergeCell ref="AG176:AI176"/>
    <mergeCell ref="AJ176:AL176"/>
    <mergeCell ref="AM176:AO176"/>
    <mergeCell ref="B176:D176"/>
    <mergeCell ref="E176:H176"/>
    <mergeCell ref="I176:J176"/>
    <mergeCell ref="K176:L176"/>
    <mergeCell ref="M176:N176"/>
    <mergeCell ref="O176:P176"/>
    <mergeCell ref="Q176:W176"/>
    <mergeCell ref="X177:AA177"/>
    <mergeCell ref="AB177:AF177"/>
    <mergeCell ref="AG177:AI177"/>
    <mergeCell ref="AJ177:AL177"/>
    <mergeCell ref="AM177:AO177"/>
    <mergeCell ref="B177:D177"/>
    <mergeCell ref="E177:H177"/>
    <mergeCell ref="I177:J177"/>
    <mergeCell ref="K177:L177"/>
    <mergeCell ref="M177:N177"/>
    <mergeCell ref="O177:P177"/>
    <mergeCell ref="Q177:W177"/>
    <mergeCell ref="X178:AA178"/>
    <mergeCell ref="AB178:AF178"/>
    <mergeCell ref="AG178:AI178"/>
    <mergeCell ref="AJ178:AL178"/>
    <mergeCell ref="AM178:AO178"/>
    <mergeCell ref="B178:D178"/>
    <mergeCell ref="E178:H178"/>
    <mergeCell ref="I178:J178"/>
    <mergeCell ref="K178:L178"/>
    <mergeCell ref="M178:N178"/>
    <mergeCell ref="O178:P178"/>
    <mergeCell ref="Q178:W178"/>
    <mergeCell ref="X179:AA179"/>
    <mergeCell ref="AB179:AF179"/>
    <mergeCell ref="AG179:AI179"/>
    <mergeCell ref="AJ179:AL179"/>
    <mergeCell ref="AM179:AO179"/>
    <mergeCell ref="B179:D179"/>
    <mergeCell ref="E179:H179"/>
    <mergeCell ref="I179:J179"/>
    <mergeCell ref="K179:L179"/>
    <mergeCell ref="M179:N179"/>
    <mergeCell ref="O179:P179"/>
    <mergeCell ref="Q179:W179"/>
    <mergeCell ref="X180:AA180"/>
    <mergeCell ref="AB180:AF180"/>
    <mergeCell ref="AG180:AI180"/>
    <mergeCell ref="AJ180:AL180"/>
    <mergeCell ref="AM180:AO180"/>
    <mergeCell ref="B180:D180"/>
    <mergeCell ref="E180:H180"/>
    <mergeCell ref="I180:J180"/>
    <mergeCell ref="K180:L180"/>
    <mergeCell ref="M180:N180"/>
    <mergeCell ref="O180:P180"/>
    <mergeCell ref="Q180:W180"/>
    <mergeCell ref="X181:AA181"/>
    <mergeCell ref="AB181:AF181"/>
    <mergeCell ref="AG181:AI181"/>
    <mergeCell ref="AJ181:AL181"/>
    <mergeCell ref="AM181:AO181"/>
    <mergeCell ref="B181:D181"/>
    <mergeCell ref="E181:H181"/>
    <mergeCell ref="I181:J181"/>
    <mergeCell ref="K181:L181"/>
    <mergeCell ref="M181:N181"/>
    <mergeCell ref="O181:P181"/>
    <mergeCell ref="Q181:W181"/>
    <mergeCell ref="X182:AA182"/>
    <mergeCell ref="AB182:AF182"/>
    <mergeCell ref="AG182:AI182"/>
    <mergeCell ref="AJ182:AL182"/>
    <mergeCell ref="AM182:AO182"/>
    <mergeCell ref="B182:D182"/>
    <mergeCell ref="E182:H182"/>
    <mergeCell ref="I182:J182"/>
    <mergeCell ref="K182:L182"/>
    <mergeCell ref="M182:N182"/>
    <mergeCell ref="O182:P182"/>
    <mergeCell ref="Q182:W182"/>
    <mergeCell ref="X183:AA183"/>
    <mergeCell ref="AB183:AF183"/>
    <mergeCell ref="AG183:AI183"/>
    <mergeCell ref="AJ183:AL183"/>
    <mergeCell ref="AM183:AO183"/>
    <mergeCell ref="B183:D183"/>
    <mergeCell ref="E183:H183"/>
    <mergeCell ref="I183:J183"/>
    <mergeCell ref="K183:L183"/>
    <mergeCell ref="M183:N183"/>
    <mergeCell ref="O183:P183"/>
    <mergeCell ref="Q183:W183"/>
    <mergeCell ref="X184:AA184"/>
    <mergeCell ref="AB184:AF184"/>
    <mergeCell ref="AG184:AI184"/>
    <mergeCell ref="AJ184:AL184"/>
    <mergeCell ref="AM184:AO184"/>
    <mergeCell ref="B184:D184"/>
    <mergeCell ref="E184:H184"/>
    <mergeCell ref="I184:J184"/>
    <mergeCell ref="K184:L184"/>
    <mergeCell ref="M184:N184"/>
    <mergeCell ref="O184:P184"/>
    <mergeCell ref="Q184:W184"/>
    <mergeCell ref="X185:AA185"/>
    <mergeCell ref="AB185:AF185"/>
    <mergeCell ref="AG185:AI185"/>
    <mergeCell ref="AJ185:AL185"/>
    <mergeCell ref="AM185:AO185"/>
    <mergeCell ref="B185:D185"/>
    <mergeCell ref="E185:H185"/>
    <mergeCell ref="I185:J185"/>
    <mergeCell ref="K185:L185"/>
    <mergeCell ref="M185:N185"/>
    <mergeCell ref="O185:P185"/>
    <mergeCell ref="Q185:W185"/>
    <mergeCell ref="X186:AA186"/>
    <mergeCell ref="AB186:AF186"/>
    <mergeCell ref="AG186:AI186"/>
    <mergeCell ref="AJ186:AL186"/>
    <mergeCell ref="AM186:AO186"/>
    <mergeCell ref="B186:D186"/>
    <mergeCell ref="E186:H186"/>
    <mergeCell ref="I186:J186"/>
    <mergeCell ref="K186:L186"/>
    <mergeCell ref="M186:N186"/>
    <mergeCell ref="O186:P186"/>
    <mergeCell ref="Q186:W186"/>
    <mergeCell ref="X187:AA187"/>
    <mergeCell ref="AB187:AF187"/>
    <mergeCell ref="AG187:AI187"/>
    <mergeCell ref="AJ187:AL187"/>
    <mergeCell ref="AM187:AO187"/>
    <mergeCell ref="B187:D187"/>
    <mergeCell ref="E187:H187"/>
    <mergeCell ref="I187:J187"/>
    <mergeCell ref="K187:L187"/>
    <mergeCell ref="M187:N187"/>
    <mergeCell ref="O187:P187"/>
    <mergeCell ref="Q187:W187"/>
    <mergeCell ref="X188:AA188"/>
    <mergeCell ref="AB188:AF188"/>
    <mergeCell ref="AG188:AI188"/>
    <mergeCell ref="AJ188:AL188"/>
    <mergeCell ref="AM188:AO188"/>
    <mergeCell ref="B188:D188"/>
    <mergeCell ref="E188:H188"/>
    <mergeCell ref="I188:J188"/>
    <mergeCell ref="K188:L188"/>
    <mergeCell ref="M188:N188"/>
    <mergeCell ref="O188:P188"/>
    <mergeCell ref="Q188:W188"/>
    <mergeCell ref="X189:AA189"/>
    <mergeCell ref="AB189:AF189"/>
    <mergeCell ref="AG189:AI189"/>
    <mergeCell ref="AJ189:AL189"/>
    <mergeCell ref="AM189:AO189"/>
    <mergeCell ref="B189:D189"/>
    <mergeCell ref="E189:H189"/>
    <mergeCell ref="I189:J189"/>
    <mergeCell ref="K189:L189"/>
    <mergeCell ref="M189:N189"/>
    <mergeCell ref="O189:P189"/>
    <mergeCell ref="Q189:W189"/>
    <mergeCell ref="X197:AA197"/>
    <mergeCell ref="AB197:AF197"/>
    <mergeCell ref="AG197:AI197"/>
    <mergeCell ref="AJ197:AL197"/>
    <mergeCell ref="AM197:AO197"/>
    <mergeCell ref="B197:D197"/>
    <mergeCell ref="E197:H197"/>
    <mergeCell ref="I197:J197"/>
    <mergeCell ref="K197:L197"/>
    <mergeCell ref="M197:N197"/>
    <mergeCell ref="O197:P197"/>
    <mergeCell ref="Q197:W197"/>
    <mergeCell ref="X198:AA198"/>
    <mergeCell ref="AB198:AF198"/>
    <mergeCell ref="AG198:AI198"/>
    <mergeCell ref="AJ198:AL198"/>
    <mergeCell ref="AM198:AO198"/>
    <mergeCell ref="B198:D198"/>
    <mergeCell ref="E198:H198"/>
    <mergeCell ref="I198:J198"/>
    <mergeCell ref="K198:L198"/>
    <mergeCell ref="M198:N198"/>
    <mergeCell ref="O198:P198"/>
    <mergeCell ref="Q198:W198"/>
    <mergeCell ref="X199:AA199"/>
    <mergeCell ref="AB199:AF199"/>
    <mergeCell ref="AG199:AI199"/>
    <mergeCell ref="AJ199:AL199"/>
    <mergeCell ref="AM199:AO199"/>
    <mergeCell ref="B199:D199"/>
    <mergeCell ref="E199:H199"/>
    <mergeCell ref="I199:J199"/>
    <mergeCell ref="K199:L199"/>
    <mergeCell ref="M199:N199"/>
    <mergeCell ref="O199:P199"/>
    <mergeCell ref="Q199:W199"/>
    <mergeCell ref="X200:AA200"/>
    <mergeCell ref="AB200:AF200"/>
    <mergeCell ref="AG200:AI200"/>
    <mergeCell ref="AJ200:AL200"/>
    <mergeCell ref="AM200:AO200"/>
    <mergeCell ref="B200:D200"/>
    <mergeCell ref="E200:H200"/>
    <mergeCell ref="I200:J200"/>
    <mergeCell ref="K200:L200"/>
    <mergeCell ref="M200:N200"/>
    <mergeCell ref="O200:P200"/>
    <mergeCell ref="Q200:W200"/>
    <mergeCell ref="P2:AA3"/>
    <mergeCell ref="P4:AA4"/>
    <mergeCell ref="O1:O4"/>
    <mergeCell ref="P1:AA1"/>
    <mergeCell ref="AB1:AB4"/>
    <mergeCell ref="B2:N2"/>
    <mergeCell ref="AC2:AO2"/>
    <mergeCell ref="B3:N4"/>
    <mergeCell ref="AC3:AO4"/>
    <mergeCell ref="X5:AA6"/>
    <mergeCell ref="AB5:AF6"/>
    <mergeCell ref="AG5:AI6"/>
    <mergeCell ref="AJ5:AL6"/>
    <mergeCell ref="AM5:AO6"/>
    <mergeCell ref="B5:D6"/>
    <mergeCell ref="E5:H6"/>
    <mergeCell ref="I5:J6"/>
    <mergeCell ref="K5:L6"/>
    <mergeCell ref="M5:N6"/>
    <mergeCell ref="O5:P6"/>
    <mergeCell ref="Q5:W6"/>
    <mergeCell ref="X7:AA7"/>
    <mergeCell ref="AB7:AF7"/>
    <mergeCell ref="AG7:AI7"/>
    <mergeCell ref="AJ7:AL7"/>
    <mergeCell ref="AM7:AO7"/>
    <mergeCell ref="B7:D7"/>
    <mergeCell ref="E7:H7"/>
    <mergeCell ref="I7:J7"/>
    <mergeCell ref="K7:L7"/>
    <mergeCell ref="M7:N7"/>
    <mergeCell ref="O7:P7"/>
    <mergeCell ref="Q7:W7"/>
    <mergeCell ref="X201:AA201"/>
    <mergeCell ref="AB201:AF201"/>
    <mergeCell ref="AG201:AI201"/>
    <mergeCell ref="AJ201:AL201"/>
    <mergeCell ref="AM201:AO201"/>
    <mergeCell ref="B201:D201"/>
    <mergeCell ref="E201:H201"/>
    <mergeCell ref="I201:J201"/>
    <mergeCell ref="K201:L201"/>
    <mergeCell ref="M201:N201"/>
    <mergeCell ref="O201:P201"/>
    <mergeCell ref="Q201:W201"/>
    <mergeCell ref="X190:AA190"/>
    <mergeCell ref="AB190:AF190"/>
    <mergeCell ref="AG190:AI190"/>
    <mergeCell ref="AJ190:AL190"/>
    <mergeCell ref="AM190:AO190"/>
    <mergeCell ref="B190:D190"/>
    <mergeCell ref="E190:H190"/>
    <mergeCell ref="I190:J190"/>
    <mergeCell ref="K190:L190"/>
    <mergeCell ref="M190:N190"/>
    <mergeCell ref="O190:P190"/>
    <mergeCell ref="Q190:W190"/>
    <mergeCell ref="X191:AA191"/>
    <mergeCell ref="AB191:AF191"/>
    <mergeCell ref="AG191:AI191"/>
    <mergeCell ref="AJ191:AL191"/>
    <mergeCell ref="AM191:AO191"/>
    <mergeCell ref="B191:D191"/>
    <mergeCell ref="E191:H191"/>
    <mergeCell ref="I191:J191"/>
    <mergeCell ref="K191:L191"/>
    <mergeCell ref="M191:N191"/>
    <mergeCell ref="O191:P191"/>
    <mergeCell ref="Q191:W191"/>
    <mergeCell ref="X192:AA192"/>
    <mergeCell ref="AB192:AF192"/>
    <mergeCell ref="AG192:AI192"/>
    <mergeCell ref="AJ192:AL192"/>
    <mergeCell ref="AM192:AO192"/>
    <mergeCell ref="B192:D192"/>
    <mergeCell ref="E192:H192"/>
    <mergeCell ref="I192:J192"/>
    <mergeCell ref="K192:L192"/>
    <mergeCell ref="M192:N192"/>
    <mergeCell ref="O192:P192"/>
    <mergeCell ref="Q192:W192"/>
    <mergeCell ref="X193:AA193"/>
    <mergeCell ref="AB193:AF193"/>
    <mergeCell ref="AG193:AI193"/>
    <mergeCell ref="AJ193:AL193"/>
    <mergeCell ref="AM193:AO193"/>
    <mergeCell ref="B193:D193"/>
    <mergeCell ref="E193:H193"/>
    <mergeCell ref="I193:J193"/>
    <mergeCell ref="K193:L193"/>
    <mergeCell ref="M193:N193"/>
    <mergeCell ref="O193:P193"/>
    <mergeCell ref="Q193:W193"/>
    <mergeCell ref="X194:AA194"/>
    <mergeCell ref="AB194:AF194"/>
    <mergeCell ref="AG194:AI194"/>
    <mergeCell ref="AJ194:AL194"/>
    <mergeCell ref="AM194:AO194"/>
    <mergeCell ref="B194:D194"/>
    <mergeCell ref="E194:H194"/>
    <mergeCell ref="I194:J194"/>
    <mergeCell ref="K194:L194"/>
    <mergeCell ref="M194:N194"/>
    <mergeCell ref="O194:P194"/>
    <mergeCell ref="Q194:W194"/>
    <mergeCell ref="X195:AA195"/>
    <mergeCell ref="AB195:AF195"/>
    <mergeCell ref="AG195:AI195"/>
    <mergeCell ref="AJ195:AL195"/>
    <mergeCell ref="AM195:AO195"/>
    <mergeCell ref="B195:D195"/>
    <mergeCell ref="E195:H195"/>
    <mergeCell ref="I195:J195"/>
    <mergeCell ref="K195:L195"/>
    <mergeCell ref="M195:N195"/>
    <mergeCell ref="O195:P195"/>
    <mergeCell ref="Q195:W195"/>
    <mergeCell ref="X196:AA196"/>
    <mergeCell ref="AB196:AF196"/>
    <mergeCell ref="AG196:AI196"/>
    <mergeCell ref="AJ196:AL196"/>
    <mergeCell ref="AM196:AO196"/>
    <mergeCell ref="B196:D196"/>
    <mergeCell ref="E196:H196"/>
    <mergeCell ref="I196:J196"/>
    <mergeCell ref="K196:L196"/>
    <mergeCell ref="M196:N196"/>
    <mergeCell ref="O196:P196"/>
    <mergeCell ref="Q196:W196"/>
    <mergeCell ref="X106:AA106"/>
    <mergeCell ref="AB106:AF106"/>
    <mergeCell ref="AG106:AI106"/>
    <mergeCell ref="AJ106:AL106"/>
    <mergeCell ref="AM106:AO106"/>
    <mergeCell ref="B106:D106"/>
    <mergeCell ref="E106:H106"/>
    <mergeCell ref="I106:J106"/>
    <mergeCell ref="K106:L106"/>
    <mergeCell ref="M106:N106"/>
    <mergeCell ref="O106:P106"/>
    <mergeCell ref="Q106:W106"/>
    <mergeCell ref="X107:AA107"/>
    <mergeCell ref="AB107:AF107"/>
    <mergeCell ref="AG107:AI107"/>
    <mergeCell ref="AJ107:AL107"/>
    <mergeCell ref="AM107:AO107"/>
    <mergeCell ref="B107:D107"/>
    <mergeCell ref="E107:H107"/>
    <mergeCell ref="I107:J107"/>
    <mergeCell ref="K107:L107"/>
    <mergeCell ref="M107:N107"/>
    <mergeCell ref="O107:P107"/>
    <mergeCell ref="Q107:W107"/>
    <mergeCell ref="X108:AA108"/>
    <mergeCell ref="AB108:AF108"/>
    <mergeCell ref="AG108:AI108"/>
    <mergeCell ref="AJ108:AL108"/>
    <mergeCell ref="AM108:AO108"/>
    <mergeCell ref="B108:D108"/>
    <mergeCell ref="E108:H108"/>
    <mergeCell ref="I108:J108"/>
    <mergeCell ref="K108:L108"/>
    <mergeCell ref="M108:N108"/>
    <mergeCell ref="O108:P108"/>
    <mergeCell ref="Q108:W108"/>
    <mergeCell ref="X109:AA109"/>
    <mergeCell ref="AB109:AF109"/>
    <mergeCell ref="AG109:AI109"/>
    <mergeCell ref="AJ109:AL109"/>
    <mergeCell ref="AM109:AO109"/>
    <mergeCell ref="B109:D109"/>
    <mergeCell ref="E109:H109"/>
    <mergeCell ref="I109:J109"/>
    <mergeCell ref="K109:L109"/>
    <mergeCell ref="M109:N109"/>
    <mergeCell ref="O109:P109"/>
    <mergeCell ref="Q109:W109"/>
    <mergeCell ref="X110:AA110"/>
    <mergeCell ref="AB110:AF110"/>
    <mergeCell ref="AG110:AI110"/>
    <mergeCell ref="AJ110:AL110"/>
    <mergeCell ref="AM110:AO110"/>
    <mergeCell ref="B110:D110"/>
    <mergeCell ref="E110:H110"/>
    <mergeCell ref="I110:J110"/>
    <mergeCell ref="K110:L110"/>
    <mergeCell ref="M110:N110"/>
    <mergeCell ref="O110:P110"/>
    <mergeCell ref="Q110:W110"/>
    <mergeCell ref="X111:AA111"/>
    <mergeCell ref="AB111:AF111"/>
    <mergeCell ref="AG111:AI111"/>
    <mergeCell ref="AJ111:AL111"/>
    <mergeCell ref="AM111:AO111"/>
    <mergeCell ref="B111:D111"/>
    <mergeCell ref="E111:H111"/>
    <mergeCell ref="I111:J111"/>
    <mergeCell ref="K111:L111"/>
    <mergeCell ref="M111:N111"/>
    <mergeCell ref="O111:P111"/>
    <mergeCell ref="Q111:W111"/>
    <mergeCell ref="X112:AA112"/>
    <mergeCell ref="AB112:AF112"/>
    <mergeCell ref="AG112:AI112"/>
    <mergeCell ref="AJ112:AL112"/>
    <mergeCell ref="AM112:AO112"/>
    <mergeCell ref="B112:D112"/>
    <mergeCell ref="E112:H112"/>
    <mergeCell ref="I112:J112"/>
    <mergeCell ref="K112:L112"/>
    <mergeCell ref="M112:N112"/>
    <mergeCell ref="O112:P112"/>
    <mergeCell ref="Q112:W112"/>
    <mergeCell ref="X113:AA113"/>
    <mergeCell ref="AB113:AF113"/>
    <mergeCell ref="AG113:AI113"/>
    <mergeCell ref="AJ113:AL113"/>
    <mergeCell ref="AM113:AO113"/>
    <mergeCell ref="B113:D113"/>
    <mergeCell ref="E113:H113"/>
    <mergeCell ref="I113:J113"/>
    <mergeCell ref="K113:L113"/>
    <mergeCell ref="M113:N113"/>
    <mergeCell ref="O113:P113"/>
    <mergeCell ref="Q113:W113"/>
    <mergeCell ref="X114:AA114"/>
    <mergeCell ref="AB114:AF114"/>
    <mergeCell ref="AG114:AI114"/>
    <mergeCell ref="AJ114:AL114"/>
    <mergeCell ref="AM114:AO114"/>
    <mergeCell ref="B114:D114"/>
    <mergeCell ref="E114:H114"/>
    <mergeCell ref="I114:J114"/>
    <mergeCell ref="K114:L114"/>
    <mergeCell ref="M114:N114"/>
    <mergeCell ref="O114:P114"/>
    <mergeCell ref="Q114:W114"/>
    <mergeCell ref="X115:AA115"/>
    <mergeCell ref="AB115:AF115"/>
    <mergeCell ref="AG115:AI115"/>
    <mergeCell ref="AJ115:AL115"/>
    <mergeCell ref="AM115:AO115"/>
    <mergeCell ref="B115:D115"/>
    <mergeCell ref="E115:H115"/>
    <mergeCell ref="I115:J115"/>
    <mergeCell ref="K115:L115"/>
    <mergeCell ref="M115:N115"/>
    <mergeCell ref="O115:P115"/>
    <mergeCell ref="Q115:W115"/>
    <mergeCell ref="X116:AA116"/>
    <mergeCell ref="AB116:AF116"/>
    <mergeCell ref="AG116:AI116"/>
    <mergeCell ref="AJ116:AL116"/>
    <mergeCell ref="AM116:AO116"/>
    <mergeCell ref="B116:D116"/>
    <mergeCell ref="E116:H116"/>
    <mergeCell ref="I116:J116"/>
    <mergeCell ref="K116:L116"/>
    <mergeCell ref="M116:N116"/>
    <mergeCell ref="O116:P116"/>
    <mergeCell ref="Q116:W116"/>
    <mergeCell ref="X117:AA117"/>
    <mergeCell ref="AB117:AF117"/>
    <mergeCell ref="AG117:AI117"/>
    <mergeCell ref="AJ117:AL117"/>
    <mergeCell ref="AM117:AO117"/>
    <mergeCell ref="B117:D117"/>
    <mergeCell ref="E117:H117"/>
    <mergeCell ref="I117:J117"/>
    <mergeCell ref="K117:L117"/>
    <mergeCell ref="M117:N117"/>
    <mergeCell ref="O117:P117"/>
    <mergeCell ref="Q117:W117"/>
    <mergeCell ref="X118:AA118"/>
    <mergeCell ref="AB118:AF118"/>
    <mergeCell ref="AG118:AI118"/>
    <mergeCell ref="AJ118:AL118"/>
    <mergeCell ref="AM118:AO118"/>
    <mergeCell ref="B118:D118"/>
    <mergeCell ref="E118:H118"/>
    <mergeCell ref="I118:J118"/>
    <mergeCell ref="K118:L118"/>
    <mergeCell ref="M118:N118"/>
    <mergeCell ref="O118:P118"/>
    <mergeCell ref="Q118:W118"/>
    <mergeCell ref="X119:AA119"/>
    <mergeCell ref="AB119:AF119"/>
    <mergeCell ref="AG119:AI119"/>
    <mergeCell ref="AJ119:AL119"/>
    <mergeCell ref="AM119:AO119"/>
    <mergeCell ref="B119:D119"/>
    <mergeCell ref="E119:H119"/>
    <mergeCell ref="I119:J119"/>
    <mergeCell ref="K119:L119"/>
    <mergeCell ref="M119:N119"/>
    <mergeCell ref="O119:P119"/>
    <mergeCell ref="Q119:W119"/>
    <mergeCell ref="X120:AA120"/>
    <mergeCell ref="AB120:AF120"/>
    <mergeCell ref="AG120:AI120"/>
    <mergeCell ref="AJ120:AL120"/>
    <mergeCell ref="AM120:AO120"/>
    <mergeCell ref="B120:D120"/>
    <mergeCell ref="E120:H120"/>
    <mergeCell ref="I120:J120"/>
    <mergeCell ref="K120:L120"/>
    <mergeCell ref="M120:N120"/>
    <mergeCell ref="O120:P120"/>
    <mergeCell ref="Q120:W120"/>
    <mergeCell ref="X121:AA121"/>
    <mergeCell ref="AB121:AF121"/>
    <mergeCell ref="AG121:AI121"/>
    <mergeCell ref="AJ121:AL121"/>
    <mergeCell ref="AM121:AO121"/>
    <mergeCell ref="B121:D121"/>
    <mergeCell ref="E121:H121"/>
    <mergeCell ref="I121:J121"/>
    <mergeCell ref="K121:L121"/>
    <mergeCell ref="M121:N121"/>
    <mergeCell ref="O121:P121"/>
    <mergeCell ref="Q121:W121"/>
    <mergeCell ref="X122:AA122"/>
    <mergeCell ref="AB122:AF122"/>
    <mergeCell ref="AG122:AI122"/>
    <mergeCell ref="AJ122:AL122"/>
    <mergeCell ref="AM122:AO122"/>
    <mergeCell ref="B122:D122"/>
    <mergeCell ref="E122:H122"/>
    <mergeCell ref="I122:J122"/>
    <mergeCell ref="K122:L122"/>
    <mergeCell ref="M122:N122"/>
    <mergeCell ref="O122:P122"/>
    <mergeCell ref="Q122:W122"/>
    <mergeCell ref="X123:AA123"/>
    <mergeCell ref="AB123:AF123"/>
    <mergeCell ref="AG123:AI123"/>
    <mergeCell ref="AJ123:AL123"/>
    <mergeCell ref="AM123:AO123"/>
    <mergeCell ref="B123:D123"/>
    <mergeCell ref="E123:H123"/>
    <mergeCell ref="I123:J123"/>
    <mergeCell ref="K123:L123"/>
    <mergeCell ref="M123:N123"/>
    <mergeCell ref="O123:P123"/>
    <mergeCell ref="Q123:W123"/>
    <mergeCell ref="X124:AA124"/>
    <mergeCell ref="AB124:AF124"/>
    <mergeCell ref="AG124:AI124"/>
    <mergeCell ref="AJ124:AL124"/>
    <mergeCell ref="AM124:AO124"/>
    <mergeCell ref="B124:D124"/>
    <mergeCell ref="E124:H124"/>
    <mergeCell ref="I124:J124"/>
    <mergeCell ref="K124:L124"/>
    <mergeCell ref="M124:N124"/>
    <mergeCell ref="O124:P124"/>
    <mergeCell ref="Q124:W124"/>
    <mergeCell ref="X125:AA125"/>
    <mergeCell ref="AB125:AF125"/>
    <mergeCell ref="AG125:AI125"/>
    <mergeCell ref="AJ125:AL125"/>
    <mergeCell ref="AM125:AO125"/>
    <mergeCell ref="B125:D125"/>
    <mergeCell ref="E125:H125"/>
    <mergeCell ref="I125:J125"/>
    <mergeCell ref="K125:L125"/>
    <mergeCell ref="M125:N125"/>
    <mergeCell ref="O125:P125"/>
    <mergeCell ref="Q125:W125"/>
    <mergeCell ref="X126:AA126"/>
    <mergeCell ref="AB126:AF126"/>
    <mergeCell ref="AG126:AI126"/>
    <mergeCell ref="AJ126:AL126"/>
    <mergeCell ref="AM126:AO126"/>
    <mergeCell ref="B126:D126"/>
    <mergeCell ref="E126:H126"/>
    <mergeCell ref="I126:J126"/>
    <mergeCell ref="K126:L126"/>
    <mergeCell ref="M126:N126"/>
    <mergeCell ref="O126:P126"/>
    <mergeCell ref="Q126:W126"/>
    <mergeCell ref="X127:AA127"/>
    <mergeCell ref="AB127:AF127"/>
    <mergeCell ref="AG127:AI127"/>
    <mergeCell ref="AJ127:AL127"/>
    <mergeCell ref="AM127:AO127"/>
    <mergeCell ref="B127:D127"/>
    <mergeCell ref="E127:H127"/>
    <mergeCell ref="I127:J127"/>
    <mergeCell ref="K127:L127"/>
    <mergeCell ref="M127:N127"/>
    <mergeCell ref="O127:P127"/>
    <mergeCell ref="Q127:W127"/>
    <mergeCell ref="X128:AA128"/>
    <mergeCell ref="AB128:AF128"/>
    <mergeCell ref="AG128:AI128"/>
    <mergeCell ref="AJ128:AL128"/>
    <mergeCell ref="AM128:AO128"/>
    <mergeCell ref="B128:D128"/>
    <mergeCell ref="E128:H128"/>
    <mergeCell ref="I128:J128"/>
    <mergeCell ref="K128:L128"/>
    <mergeCell ref="M128:N128"/>
    <mergeCell ref="O128:P128"/>
    <mergeCell ref="Q128:W128"/>
    <mergeCell ref="X129:AA129"/>
    <mergeCell ref="AB129:AF129"/>
    <mergeCell ref="AG129:AI129"/>
    <mergeCell ref="AJ129:AL129"/>
    <mergeCell ref="AM129:AO129"/>
    <mergeCell ref="B129:D129"/>
    <mergeCell ref="E129:H129"/>
    <mergeCell ref="I129:J129"/>
    <mergeCell ref="K129:L129"/>
    <mergeCell ref="M129:N129"/>
    <mergeCell ref="O129:P129"/>
    <mergeCell ref="Q129:W129"/>
    <mergeCell ref="X130:AA130"/>
    <mergeCell ref="AB130:AF130"/>
    <mergeCell ref="AG130:AI130"/>
    <mergeCell ref="AJ130:AL130"/>
    <mergeCell ref="AM130:AO130"/>
    <mergeCell ref="B130:D130"/>
    <mergeCell ref="E130:H130"/>
    <mergeCell ref="I130:J130"/>
    <mergeCell ref="K130:L130"/>
    <mergeCell ref="M130:N130"/>
    <mergeCell ref="O130:P130"/>
    <mergeCell ref="Q130:W130"/>
    <mergeCell ref="X131:AA131"/>
    <mergeCell ref="AB131:AF131"/>
    <mergeCell ref="AG131:AI131"/>
    <mergeCell ref="AJ131:AL131"/>
    <mergeCell ref="AM131:AO131"/>
    <mergeCell ref="B131:D131"/>
    <mergeCell ref="E131:H131"/>
    <mergeCell ref="I131:J131"/>
    <mergeCell ref="K131:L131"/>
    <mergeCell ref="M131:N131"/>
    <mergeCell ref="O131:P131"/>
    <mergeCell ref="Q131:W131"/>
    <mergeCell ref="X132:AA132"/>
    <mergeCell ref="AB132:AF132"/>
    <mergeCell ref="AG132:AI132"/>
    <mergeCell ref="AJ132:AL132"/>
    <mergeCell ref="AM132:AO132"/>
    <mergeCell ref="B132:D132"/>
    <mergeCell ref="E132:H132"/>
    <mergeCell ref="I132:J132"/>
    <mergeCell ref="K132:L132"/>
    <mergeCell ref="M132:N132"/>
    <mergeCell ref="O132:P132"/>
    <mergeCell ref="Q132:W132"/>
    <mergeCell ref="X133:AA133"/>
    <mergeCell ref="AB133:AF133"/>
    <mergeCell ref="AG133:AI133"/>
    <mergeCell ref="AJ133:AL133"/>
    <mergeCell ref="AM133:AO133"/>
    <mergeCell ref="B133:D133"/>
    <mergeCell ref="E133:H133"/>
    <mergeCell ref="I133:J133"/>
    <mergeCell ref="K133:L133"/>
    <mergeCell ref="M133:N133"/>
    <mergeCell ref="O133:P133"/>
    <mergeCell ref="Q133:W133"/>
    <mergeCell ref="X134:AA134"/>
    <mergeCell ref="AB134:AF134"/>
    <mergeCell ref="AG134:AI134"/>
    <mergeCell ref="AJ134:AL134"/>
    <mergeCell ref="AM134:AO134"/>
    <mergeCell ref="B134:D134"/>
    <mergeCell ref="E134:H134"/>
    <mergeCell ref="I134:J134"/>
    <mergeCell ref="K134:L134"/>
    <mergeCell ref="M134:N134"/>
    <mergeCell ref="O134:P134"/>
    <mergeCell ref="Q134:W134"/>
    <mergeCell ref="X135:AA135"/>
    <mergeCell ref="AB135:AF135"/>
    <mergeCell ref="AG135:AI135"/>
    <mergeCell ref="AJ135:AL135"/>
    <mergeCell ref="AM135:AO135"/>
    <mergeCell ref="B135:D135"/>
    <mergeCell ref="E135:H135"/>
    <mergeCell ref="I135:J135"/>
    <mergeCell ref="K135:L135"/>
    <mergeCell ref="M135:N135"/>
    <mergeCell ref="O135:P135"/>
    <mergeCell ref="Q135:W135"/>
    <mergeCell ref="X136:AA136"/>
    <mergeCell ref="AB136:AF136"/>
    <mergeCell ref="AG136:AI136"/>
    <mergeCell ref="AJ136:AL136"/>
    <mergeCell ref="AM136:AO136"/>
    <mergeCell ref="B136:D136"/>
    <mergeCell ref="E136:H136"/>
    <mergeCell ref="I136:J136"/>
    <mergeCell ref="K136:L136"/>
    <mergeCell ref="M136:N136"/>
    <mergeCell ref="O136:P136"/>
    <mergeCell ref="Q136:W136"/>
    <mergeCell ref="X137:AA137"/>
    <mergeCell ref="AB137:AF137"/>
    <mergeCell ref="AG137:AI137"/>
    <mergeCell ref="AJ137:AL137"/>
    <mergeCell ref="AM137:AO137"/>
    <mergeCell ref="B137:D137"/>
    <mergeCell ref="E137:H137"/>
    <mergeCell ref="I137:J137"/>
    <mergeCell ref="K137:L137"/>
    <mergeCell ref="M137:N137"/>
    <mergeCell ref="O137:P137"/>
    <mergeCell ref="Q137:W137"/>
    <mergeCell ref="X138:AA138"/>
    <mergeCell ref="AB138:AF138"/>
    <mergeCell ref="AG138:AI138"/>
    <mergeCell ref="AJ138:AL138"/>
    <mergeCell ref="AM138:AO138"/>
    <mergeCell ref="B138:D138"/>
    <mergeCell ref="E138:H138"/>
    <mergeCell ref="I138:J138"/>
    <mergeCell ref="K138:L138"/>
    <mergeCell ref="M138:N138"/>
    <mergeCell ref="O138:P138"/>
    <mergeCell ref="Q138:W138"/>
    <mergeCell ref="X139:AA139"/>
    <mergeCell ref="AB139:AF139"/>
    <mergeCell ref="AG139:AI139"/>
    <mergeCell ref="AJ139:AL139"/>
    <mergeCell ref="AM139:AO139"/>
    <mergeCell ref="B139:D139"/>
    <mergeCell ref="E139:H139"/>
    <mergeCell ref="I139:J139"/>
    <mergeCell ref="K139:L139"/>
    <mergeCell ref="M139:N139"/>
    <mergeCell ref="O139:P139"/>
    <mergeCell ref="Q139:W139"/>
    <mergeCell ref="X140:AA140"/>
    <mergeCell ref="AB140:AF140"/>
    <mergeCell ref="AG140:AI140"/>
    <mergeCell ref="AJ140:AL140"/>
    <mergeCell ref="AM140:AO140"/>
    <mergeCell ref="B140:D140"/>
    <mergeCell ref="E140:H140"/>
    <mergeCell ref="I140:J140"/>
    <mergeCell ref="K140:L140"/>
    <mergeCell ref="M140:N140"/>
    <mergeCell ref="O140:P140"/>
    <mergeCell ref="Q140:W140"/>
    <mergeCell ref="X141:AA141"/>
    <mergeCell ref="AB141:AF141"/>
    <mergeCell ref="AG141:AI141"/>
    <mergeCell ref="AJ141:AL141"/>
    <mergeCell ref="AM141:AO141"/>
    <mergeCell ref="B141:D141"/>
    <mergeCell ref="E141:H141"/>
    <mergeCell ref="I141:J141"/>
    <mergeCell ref="K141:L141"/>
    <mergeCell ref="M141:N141"/>
    <mergeCell ref="O141:P141"/>
    <mergeCell ref="Q141:W141"/>
    <mergeCell ref="X142:AA142"/>
    <mergeCell ref="AB142:AF142"/>
    <mergeCell ref="AG142:AI142"/>
    <mergeCell ref="AJ142:AL142"/>
    <mergeCell ref="AM142:AO142"/>
    <mergeCell ref="B142:D142"/>
    <mergeCell ref="E142:H142"/>
    <mergeCell ref="I142:J142"/>
    <mergeCell ref="K142:L142"/>
    <mergeCell ref="M142:N142"/>
    <mergeCell ref="O142:P142"/>
    <mergeCell ref="Q142:W142"/>
    <mergeCell ref="X143:AA143"/>
    <mergeCell ref="AB143:AF143"/>
    <mergeCell ref="AG143:AI143"/>
    <mergeCell ref="AJ143:AL143"/>
    <mergeCell ref="AM143:AO143"/>
    <mergeCell ref="B143:D143"/>
    <mergeCell ref="E143:H143"/>
    <mergeCell ref="I143:J143"/>
    <mergeCell ref="K143:L143"/>
    <mergeCell ref="M143:N143"/>
    <mergeCell ref="O143:P143"/>
    <mergeCell ref="Q143:W143"/>
    <mergeCell ref="X144:AA144"/>
    <mergeCell ref="AB144:AF144"/>
    <mergeCell ref="AG144:AI144"/>
    <mergeCell ref="AJ144:AL144"/>
    <mergeCell ref="AM144:AO144"/>
    <mergeCell ref="B144:D144"/>
    <mergeCell ref="E144:H144"/>
    <mergeCell ref="I144:J144"/>
    <mergeCell ref="K144:L144"/>
    <mergeCell ref="M144:N144"/>
    <mergeCell ref="O144:P144"/>
    <mergeCell ref="Q144:W144"/>
    <mergeCell ref="X145:AA145"/>
    <mergeCell ref="AB145:AF145"/>
    <mergeCell ref="AG145:AI145"/>
    <mergeCell ref="AJ145:AL145"/>
    <mergeCell ref="AM145:AO145"/>
    <mergeCell ref="B145:D145"/>
    <mergeCell ref="E145:H145"/>
    <mergeCell ref="I145:J145"/>
    <mergeCell ref="K145:L145"/>
    <mergeCell ref="M145:N145"/>
    <mergeCell ref="O145:P145"/>
    <mergeCell ref="Q145:W145"/>
    <mergeCell ref="X146:AA146"/>
    <mergeCell ref="AB146:AF146"/>
    <mergeCell ref="AG146:AI146"/>
    <mergeCell ref="AJ146:AL146"/>
    <mergeCell ref="AM146:AO146"/>
    <mergeCell ref="B146:D146"/>
    <mergeCell ref="E146:H146"/>
    <mergeCell ref="I146:J146"/>
    <mergeCell ref="K146:L146"/>
    <mergeCell ref="M146:N146"/>
    <mergeCell ref="O146:P146"/>
    <mergeCell ref="Q146:W146"/>
    <mergeCell ref="X147:AA147"/>
    <mergeCell ref="AB147:AF147"/>
    <mergeCell ref="AG147:AI147"/>
    <mergeCell ref="AJ147:AL147"/>
    <mergeCell ref="AM147:AO147"/>
    <mergeCell ref="B147:D147"/>
    <mergeCell ref="E147:H147"/>
    <mergeCell ref="I147:J147"/>
    <mergeCell ref="K147:L147"/>
    <mergeCell ref="M147:N147"/>
    <mergeCell ref="O147:P147"/>
    <mergeCell ref="Q147:W147"/>
    <mergeCell ref="X148:AA148"/>
    <mergeCell ref="AB148:AF148"/>
    <mergeCell ref="AG148:AI148"/>
    <mergeCell ref="AJ148:AL148"/>
    <mergeCell ref="AM148:AO148"/>
    <mergeCell ref="B148:D148"/>
    <mergeCell ref="E148:H148"/>
    <mergeCell ref="I148:J148"/>
    <mergeCell ref="K148:L148"/>
    <mergeCell ref="M148:N148"/>
    <mergeCell ref="O148:P148"/>
    <mergeCell ref="Q148:W148"/>
    <mergeCell ref="X149:AA149"/>
    <mergeCell ref="AB149:AF149"/>
    <mergeCell ref="AG149:AI149"/>
    <mergeCell ref="AJ149:AL149"/>
    <mergeCell ref="AM149:AO149"/>
    <mergeCell ref="B149:D149"/>
    <mergeCell ref="E149:H149"/>
    <mergeCell ref="I149:J149"/>
    <mergeCell ref="K149:L149"/>
    <mergeCell ref="M149:N149"/>
    <mergeCell ref="O149:P149"/>
    <mergeCell ref="Q149:W149"/>
    <mergeCell ref="X150:AA150"/>
    <mergeCell ref="AB150:AF150"/>
    <mergeCell ref="AG150:AI150"/>
    <mergeCell ref="AJ150:AL150"/>
    <mergeCell ref="AM150:AO150"/>
    <mergeCell ref="B150:D150"/>
    <mergeCell ref="E150:H150"/>
    <mergeCell ref="I150:J150"/>
    <mergeCell ref="K150:L150"/>
    <mergeCell ref="M150:N150"/>
    <mergeCell ref="O150:P150"/>
    <mergeCell ref="Q150:W150"/>
    <mergeCell ref="X151:AA151"/>
    <mergeCell ref="AB151:AF151"/>
    <mergeCell ref="AG151:AI151"/>
    <mergeCell ref="AJ151:AL151"/>
    <mergeCell ref="AM151:AO151"/>
    <mergeCell ref="B151:D151"/>
    <mergeCell ref="E151:H151"/>
    <mergeCell ref="I151:J151"/>
    <mergeCell ref="K151:L151"/>
    <mergeCell ref="M151:N151"/>
    <mergeCell ref="O151:P151"/>
    <mergeCell ref="Q151:W151"/>
    <mergeCell ref="X152:AA152"/>
    <mergeCell ref="AB152:AF152"/>
    <mergeCell ref="AG152:AI152"/>
    <mergeCell ref="AJ152:AL152"/>
    <mergeCell ref="AM152:AO152"/>
    <mergeCell ref="B152:D152"/>
    <mergeCell ref="E152:H152"/>
    <mergeCell ref="I152:J152"/>
    <mergeCell ref="K152:L152"/>
    <mergeCell ref="M152:N152"/>
    <mergeCell ref="O152:P152"/>
    <mergeCell ref="Q152:W152"/>
    <mergeCell ref="X153:AA153"/>
    <mergeCell ref="AB153:AF153"/>
    <mergeCell ref="AG153:AI153"/>
    <mergeCell ref="AJ153:AL153"/>
    <mergeCell ref="AM153:AO153"/>
    <mergeCell ref="B153:D153"/>
    <mergeCell ref="E153:H153"/>
    <mergeCell ref="I153:J153"/>
    <mergeCell ref="K153:L153"/>
    <mergeCell ref="M153:N153"/>
    <mergeCell ref="O153:P153"/>
    <mergeCell ref="Q153:W153"/>
    <mergeCell ref="X154:AA154"/>
    <mergeCell ref="AB154:AF154"/>
    <mergeCell ref="AG154:AI154"/>
    <mergeCell ref="AJ154:AL154"/>
    <mergeCell ref="AM154:AO154"/>
    <mergeCell ref="B154:D154"/>
    <mergeCell ref="E154:H154"/>
    <mergeCell ref="I154:J154"/>
    <mergeCell ref="K154:L154"/>
    <mergeCell ref="M154:N154"/>
    <mergeCell ref="O154:P154"/>
    <mergeCell ref="Q154:W154"/>
  </mergeCells>
  <conditionalFormatting sqref="E106:AO201">
    <cfRule type="expression" dxfId="43" priority="1">
      <formula>and($B106&lt;&gt;"",E106="")</formula>
    </cfRule>
  </conditionalFormatting>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19.29"/>
    <col customWidth="1" min="2" max="2" width="146.71"/>
  </cols>
  <sheetData>
    <row r="1">
      <c r="A1" s="560" t="s">
        <v>602</v>
      </c>
      <c r="B1" s="560" t="s">
        <v>603</v>
      </c>
    </row>
    <row r="2">
      <c r="A2" s="560" t="s">
        <v>604</v>
      </c>
      <c r="B2" s="560" t="s">
        <v>605</v>
      </c>
    </row>
    <row r="3">
      <c r="A3" s="560" t="s">
        <v>606</v>
      </c>
      <c r="B3" s="560" t="s">
        <v>607</v>
      </c>
    </row>
    <row r="4">
      <c r="A4" s="560" t="s">
        <v>608</v>
      </c>
      <c r="B4" s="560" t="s">
        <v>609</v>
      </c>
    </row>
    <row r="5">
      <c r="A5" s="560" t="s">
        <v>608</v>
      </c>
      <c r="B5" s="560" t="s">
        <v>610</v>
      </c>
    </row>
    <row r="6">
      <c r="A6" s="560" t="s">
        <v>611</v>
      </c>
      <c r="B6" s="560" t="s">
        <v>612</v>
      </c>
    </row>
    <row r="7">
      <c r="A7" s="560" t="s">
        <v>613</v>
      </c>
      <c r="B7" s="560" t="s">
        <v>614</v>
      </c>
    </row>
    <row r="8">
      <c r="A8" s="560" t="s">
        <v>615</v>
      </c>
      <c r="B8" s="560" t="s">
        <v>616</v>
      </c>
    </row>
    <row r="9">
      <c r="A9" s="560" t="s">
        <v>617</v>
      </c>
      <c r="B9" s="560" t="s">
        <v>618</v>
      </c>
    </row>
    <row r="10">
      <c r="A10" s="560" t="s">
        <v>619</v>
      </c>
      <c r="B10" s="560" t="s">
        <v>620</v>
      </c>
    </row>
    <row r="11">
      <c r="A11" s="560" t="s">
        <v>621</v>
      </c>
      <c r="B11" s="560" t="s">
        <v>622</v>
      </c>
    </row>
    <row r="12">
      <c r="A12" s="560" t="s">
        <v>623</v>
      </c>
      <c r="B12" s="560" t="s">
        <v>624</v>
      </c>
    </row>
    <row r="13">
      <c r="A13" s="560" t="s">
        <v>625</v>
      </c>
      <c r="B13" s="560" t="s">
        <v>626</v>
      </c>
    </row>
    <row r="14">
      <c r="A14" s="560" t="s">
        <v>627</v>
      </c>
      <c r="B14" s="560" t="s">
        <v>628</v>
      </c>
    </row>
    <row r="15">
      <c r="A15" s="560" t="s">
        <v>629</v>
      </c>
      <c r="B15" s="560" t="s">
        <v>630</v>
      </c>
    </row>
  </sheetData>
  <drawing r:id="rId1"/>
</worksheet>
</file>